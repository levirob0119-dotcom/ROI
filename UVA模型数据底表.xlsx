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.li/Documents/ROI/"/>
    </mc:Choice>
  </mc:AlternateContent>
  <xr:revisionPtr revIDLastSave="0" documentId="13_ncr:1_{AFF4ED67-9450-CE48-B15E-9C97B3AD5123}" xr6:coauthVersionLast="47" xr6:coauthVersionMax="47" xr10:uidLastSave="{00000000-0000-0000-0000-000000000000}"/>
  <bookViews>
    <workbookView xWindow="0" yWindow="760" windowWidth="30240" windowHeight="17240" activeTab="1" xr2:uid="{00000000-000D-0000-FFFF-FFFF00000000}"/>
  </bookViews>
  <sheets>
    <sheet name="矩阵（副本）" sheetId="2" state="hidden" r:id="rId1"/>
    <sheet name="Cetus数据底表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M25" i="2"/>
  <c r="L25" i="2"/>
  <c r="K25" i="2"/>
  <c r="J25" i="2"/>
  <c r="I25" i="2"/>
  <c r="H25" i="2"/>
  <c r="G25" i="2"/>
  <c r="F25" i="2"/>
  <c r="E25" i="2"/>
  <c r="O24" i="2"/>
  <c r="V24" i="2" s="1"/>
  <c r="C24" i="2"/>
  <c r="B24" i="2"/>
  <c r="T23" i="2"/>
  <c r="S23" i="2"/>
  <c r="O23" i="2"/>
  <c r="Z23" i="2" s="1"/>
  <c r="C23" i="2"/>
  <c r="B23" i="2"/>
  <c r="O22" i="2"/>
  <c r="X22" i="2" s="1"/>
  <c r="C22" i="2"/>
  <c r="B22" i="2"/>
  <c r="Y21" i="2"/>
  <c r="V21" i="2"/>
  <c r="U21" i="2"/>
  <c r="T21" i="2"/>
  <c r="Q21" i="2"/>
  <c r="O21" i="2"/>
  <c r="S21" i="2" s="1"/>
  <c r="C21" i="2"/>
  <c r="B21" i="2"/>
  <c r="Z20" i="2"/>
  <c r="Y20" i="2"/>
  <c r="V20" i="2"/>
  <c r="U20" i="2"/>
  <c r="T20" i="2"/>
  <c r="S20" i="2"/>
  <c r="R20" i="2"/>
  <c r="Q20" i="2"/>
  <c r="O20" i="2"/>
  <c r="X20" i="2" s="1"/>
  <c r="C20" i="2"/>
  <c r="B20" i="2"/>
  <c r="S19" i="2"/>
  <c r="O19" i="2"/>
  <c r="W19" i="2" s="1"/>
  <c r="C19" i="2"/>
  <c r="B19" i="2"/>
  <c r="O18" i="2"/>
  <c r="T18" i="2" s="1"/>
  <c r="C18" i="2"/>
  <c r="B18" i="2"/>
  <c r="Z17" i="2"/>
  <c r="U17" i="2"/>
  <c r="S17" i="2"/>
  <c r="R17" i="2"/>
  <c r="O17" i="2"/>
  <c r="Y17" i="2" s="1"/>
  <c r="C17" i="2"/>
  <c r="B17" i="2"/>
  <c r="O16" i="2"/>
  <c r="V16" i="2" s="1"/>
  <c r="C16" i="2"/>
  <c r="B16" i="2"/>
  <c r="Z15" i="2"/>
  <c r="Y15" i="2"/>
  <c r="W15" i="2"/>
  <c r="U15" i="2"/>
  <c r="T15" i="2"/>
  <c r="S15" i="2"/>
  <c r="R15" i="2"/>
  <c r="Q15" i="2"/>
  <c r="O15" i="2"/>
  <c r="X15" i="2" s="1"/>
  <c r="C15" i="2"/>
  <c r="B15" i="2"/>
  <c r="Y14" i="2"/>
  <c r="T14" i="2"/>
  <c r="Q14" i="2"/>
  <c r="O14" i="2"/>
  <c r="X14" i="2" s="1"/>
  <c r="C14" i="2"/>
  <c r="B14" i="2"/>
  <c r="Y13" i="2"/>
  <c r="V13" i="2"/>
  <c r="U13" i="2"/>
  <c r="T13" i="2"/>
  <c r="S13" i="2"/>
  <c r="Q13" i="2"/>
  <c r="O13" i="2"/>
  <c r="Z13" i="2" s="1"/>
  <c r="C13" i="2"/>
  <c r="B13" i="2"/>
  <c r="Z12" i="2"/>
  <c r="Y12" i="2"/>
  <c r="V12" i="2"/>
  <c r="T12" i="2"/>
  <c r="S12" i="2"/>
  <c r="R12" i="2"/>
  <c r="Q12" i="2"/>
  <c r="O12" i="2"/>
  <c r="X12" i="2" s="1"/>
  <c r="C12" i="2"/>
  <c r="B12" i="2"/>
  <c r="O11" i="2"/>
  <c r="W11" i="2" s="1"/>
  <c r="C11" i="2"/>
  <c r="B11" i="2"/>
  <c r="U10" i="2"/>
  <c r="O10" i="2"/>
  <c r="T10" i="2" s="1"/>
  <c r="C10" i="2"/>
  <c r="B10" i="2"/>
  <c r="Z9" i="2"/>
  <c r="U9" i="2"/>
  <c r="S9" i="2"/>
  <c r="R9" i="2"/>
  <c r="O9" i="2"/>
  <c r="Y9" i="2" s="1"/>
  <c r="C9" i="2"/>
  <c r="B9" i="2"/>
  <c r="W8" i="2"/>
  <c r="O8" i="2"/>
  <c r="V8" i="2" s="1"/>
  <c r="C8" i="2"/>
  <c r="B8" i="2"/>
  <c r="Z7" i="2"/>
  <c r="Y7" i="2"/>
  <c r="W7" i="2"/>
  <c r="V7" i="2"/>
  <c r="U7" i="2"/>
  <c r="T7" i="2"/>
  <c r="S7" i="2"/>
  <c r="R7" i="2"/>
  <c r="Q7" i="2"/>
  <c r="O7" i="2"/>
  <c r="X7" i="2" s="1"/>
  <c r="C7" i="2"/>
  <c r="B7" i="2"/>
  <c r="Y6" i="2"/>
  <c r="Q6" i="2"/>
  <c r="O6" i="2"/>
  <c r="X6" i="2" s="1"/>
  <c r="C6" i="2"/>
  <c r="B6" i="2"/>
  <c r="Y5" i="2"/>
  <c r="W5" i="2"/>
  <c r="V5" i="2"/>
  <c r="U5" i="2"/>
  <c r="T5" i="2"/>
  <c r="Q5" i="2"/>
  <c r="O5" i="2"/>
  <c r="S5" i="2" s="1"/>
  <c r="C5" i="2"/>
  <c r="B5" i="2"/>
  <c r="Z4" i="2"/>
  <c r="Y4" i="2"/>
  <c r="V4" i="2"/>
  <c r="U4" i="2"/>
  <c r="T4" i="2"/>
  <c r="S4" i="2"/>
  <c r="R4" i="2"/>
  <c r="Q4" i="2"/>
  <c r="O4" i="2"/>
  <c r="X4" i="2" s="1"/>
  <c r="C4" i="2"/>
  <c r="B4" i="2"/>
  <c r="W16" i="2" l="1"/>
  <c r="U18" i="2"/>
  <c r="X19" i="2"/>
  <c r="Q22" i="2"/>
  <c r="Y22" i="2"/>
  <c r="W24" i="2"/>
  <c r="V10" i="2"/>
  <c r="Q11" i="2"/>
  <c r="Y11" i="2"/>
  <c r="W13" i="2"/>
  <c r="R14" i="2"/>
  <c r="Z14" i="2"/>
  <c r="X16" i="2"/>
  <c r="V18" i="2"/>
  <c r="Q19" i="2"/>
  <c r="Y19" i="2"/>
  <c r="W21" i="2"/>
  <c r="R22" i="2"/>
  <c r="Z22" i="2"/>
  <c r="U23" i="2"/>
  <c r="X24" i="2"/>
  <c r="R6" i="2"/>
  <c r="Z6" i="2"/>
  <c r="Z25" i="2" s="1"/>
  <c r="X8" i="2"/>
  <c r="X5" i="2"/>
  <c r="S6" i="2"/>
  <c r="S25" i="2" s="1"/>
  <c r="Q8" i="2"/>
  <c r="Q25" i="2" s="1"/>
  <c r="Y8" i="2"/>
  <c r="T9" i="2"/>
  <c r="W10" i="2"/>
  <c r="R11" i="2"/>
  <c r="Z11" i="2"/>
  <c r="U12" i="2"/>
  <c r="X13" i="2"/>
  <c r="S14" i="2"/>
  <c r="V15" i="2"/>
  <c r="Q16" i="2"/>
  <c r="Y16" i="2"/>
  <c r="Y25" i="2" s="1"/>
  <c r="T17" i="2"/>
  <c r="W18" i="2"/>
  <c r="R19" i="2"/>
  <c r="Z19" i="2"/>
  <c r="X21" i="2"/>
  <c r="S22" i="2"/>
  <c r="V23" i="2"/>
  <c r="Q24" i="2"/>
  <c r="Y24" i="2"/>
  <c r="T6" i="2"/>
  <c r="R16" i="2"/>
  <c r="Z16" i="2"/>
  <c r="X18" i="2"/>
  <c r="T22" i="2"/>
  <c r="W23" i="2"/>
  <c r="R24" i="2"/>
  <c r="Z24" i="2"/>
  <c r="X11" i="2"/>
  <c r="W4" i="2"/>
  <c r="R5" i="2"/>
  <c r="R25" i="2" s="1"/>
  <c r="Z5" i="2"/>
  <c r="U6" i="2"/>
  <c r="U25" i="2" s="1"/>
  <c r="S8" i="2"/>
  <c r="V9" i="2"/>
  <c r="Q10" i="2"/>
  <c r="Y10" i="2"/>
  <c r="T11" i="2"/>
  <c r="W12" i="2"/>
  <c r="R13" i="2"/>
  <c r="U14" i="2"/>
  <c r="S16" i="2"/>
  <c r="V17" i="2"/>
  <c r="Q18" i="2"/>
  <c r="Y18" i="2"/>
  <c r="T19" i="2"/>
  <c r="W20" i="2"/>
  <c r="R21" i="2"/>
  <c r="Z21" i="2"/>
  <c r="U22" i="2"/>
  <c r="X23" i="2"/>
  <c r="S24" i="2"/>
  <c r="R8" i="2"/>
  <c r="Z8" i="2"/>
  <c r="X10" i="2"/>
  <c r="S11" i="2"/>
  <c r="V6" i="2"/>
  <c r="V25" i="2" s="1"/>
  <c r="T8" i="2"/>
  <c r="T25" i="2" s="1"/>
  <c r="W9" i="2"/>
  <c r="R10" i="2"/>
  <c r="Z10" i="2"/>
  <c r="U11" i="2"/>
  <c r="V14" i="2"/>
  <c r="T16" i="2"/>
  <c r="W17" i="2"/>
  <c r="R18" i="2"/>
  <c r="Z18" i="2"/>
  <c r="U19" i="2"/>
  <c r="V22" i="2"/>
  <c r="Q23" i="2"/>
  <c r="Y23" i="2"/>
  <c r="T24" i="2"/>
  <c r="W6" i="2"/>
  <c r="U8" i="2"/>
  <c r="X9" i="2"/>
  <c r="X25" i="2" s="1"/>
  <c r="S10" i="2"/>
  <c r="V11" i="2"/>
  <c r="W14" i="2"/>
  <c r="U16" i="2"/>
  <c r="X17" i="2"/>
  <c r="S18" i="2"/>
  <c r="V19" i="2"/>
  <c r="W22" i="2"/>
  <c r="R23" i="2"/>
  <c r="U24" i="2"/>
  <c r="Q9" i="2"/>
  <c r="Q17" i="2"/>
  <c r="W25" i="2" l="1"/>
</calcChain>
</file>

<file path=xl/sharedStrings.xml><?xml version="1.0" encoding="utf-8"?>
<sst xmlns="http://schemas.openxmlformats.org/spreadsheetml/2006/main" count="228" uniqueCount="140">
  <si>
    <t>纵向分析</t>
  </si>
  <si>
    <t>横向分析</t>
  </si>
  <si>
    <t>优先级</t>
  </si>
  <si>
    <t>目标UV</t>
  </si>
  <si>
    <t>TA
UV*PETS</t>
  </si>
  <si>
    <t>智能驾驶</t>
  </si>
  <si>
    <t>智能座舱</t>
  </si>
  <si>
    <t>安全体验</t>
  </si>
  <si>
    <t>外观设计及车身外部功能件</t>
  </si>
  <si>
    <t>内饰设计</t>
  </si>
  <si>
    <t>驾驶体验</t>
  </si>
  <si>
    <t>乘坐体验</t>
  </si>
  <si>
    <t>空间体验</t>
  </si>
  <si>
    <t>座舱环境与舒适</t>
  </si>
  <si>
    <t>续航 &amp; 补能体验</t>
  </si>
  <si>
    <t>展现实力</t>
  </si>
  <si>
    <t>彰显品味</t>
  </si>
  <si>
    <t>社交价值</t>
  </si>
  <si>
    <t>得体感</t>
  </si>
  <si>
    <t>科技领先感</t>
  </si>
  <si>
    <t>愉悦享受</t>
  </si>
  <si>
    <t>自由感</t>
  </si>
  <si>
    <t>安心感</t>
  </si>
  <si>
    <t>关怀陪伴</t>
  </si>
  <si>
    <t>表达个性</t>
  </si>
  <si>
    <t>社会责任感</t>
  </si>
  <si>
    <t>空间价值</t>
  </si>
  <si>
    <t>可靠性价值</t>
  </si>
  <si>
    <t>舒适价值</t>
  </si>
  <si>
    <t>娱乐价值</t>
  </si>
  <si>
    <t>便利性价值</t>
  </si>
  <si>
    <t>解放时间&amp;精力价值</t>
  </si>
  <si>
    <t>驾驶&amp;出行价值</t>
  </si>
  <si>
    <t>健康价值</t>
  </si>
  <si>
    <t>经济性价值</t>
  </si>
  <si>
    <t>安全价值</t>
  </si>
  <si>
    <t>UV L1</t>
  </si>
  <si>
    <t>L1 优先级</t>
  </si>
  <si>
    <t>目标UV L1权重</t>
  </si>
  <si>
    <t>UV L2</t>
  </si>
  <si>
    <t>目标UV L2权重</t>
  </si>
  <si>
    <t>核心差异UV</t>
  </si>
  <si>
    <t>氛围感带来的愉悦享受</t>
  </si>
  <si>
    <t>空间感带来的愉悦享受</t>
  </si>
  <si>
    <t>设计审美带来的愉悦享受</t>
  </si>
  <si>
    <t>安静、静谧的空间带来的愉悦享受</t>
  </si>
  <si>
    <t>与家人朋友互动带来的愉悦享受</t>
  </si>
  <si>
    <t>驾驶乐趣，速度与激情带来的愉悦</t>
  </si>
  <si>
    <t>影音娱乐体验的愉悦享受</t>
  </si>
  <si>
    <t>智能交互如NOMI带来的愉悦享受</t>
  </si>
  <si>
    <t>贴心的服务带来的愉悦享受</t>
  </si>
  <si>
    <t>仪式感带来的愉悦享受</t>
  </si>
  <si>
    <t>户外活动带来的愉悦享受</t>
  </si>
  <si>
    <t>高级感，彰显高级的设计审美品味</t>
  </si>
  <si>
    <t>风格鲜明，彰显不同风格的设计审美品味</t>
  </si>
  <si>
    <t>有内涵，展现不同的文化内涵</t>
  </si>
  <si>
    <t>关怀陪伴「小孩」</t>
  </si>
  <si>
    <t>关怀陪伴「伴侣」</t>
  </si>
  <si>
    <t>关怀陪伴「自己」</t>
  </si>
  <si>
    <t>关怀陪伴「老人」</t>
  </si>
  <si>
    <t>关怀陪伴「商务合作伙伴」</t>
  </si>
  <si>
    <t>关怀陪伴「朋友」</t>
  </si>
  <si>
    <t>关怀陪伴「宠物」</t>
  </si>
  <si>
    <t>建立社交联系，认识新的朋友、车友圈</t>
  </si>
  <si>
    <t>商业社交价值，获得合作伙伴的信任</t>
  </si>
  <si>
    <t>获得他人关注，得到认可，关注度回头率高</t>
  </si>
  <si>
    <t>基线UV</t>
  </si>
  <si>
    <t>科技引领先锋，探索前沿，创新引领</t>
  </si>
  <si>
    <t>追随科技潮流，紧追时代，不落后</t>
  </si>
  <si>
    <t>发生危险/事故时保障生命安全</t>
  </si>
  <si>
    <t>预防/避免/减少事故发生</t>
  </si>
  <si>
    <t>出行和补能安心保障</t>
  </si>
  <si>
    <t>事故发生后的主动支持和保障</t>
  </si>
  <si>
    <t>功能操作交互安心，驾驶不分心</t>
  </si>
  <si>
    <t>身体健康安全</t>
  </si>
  <si>
    <t>个人隐私信息保护</t>
  </si>
  <si>
    <t>财产安全保护</t>
  </si>
  <si>
    <t>符合自己社会身份、形象的得体感</t>
  </si>
  <si>
    <t>适合不同场合的得体感，如出席正式商务场景的得体感</t>
  </si>
  <si>
    <t>招待重要合作伙伴、朋友时的得体感，对他人的得体尊重</t>
  </si>
  <si>
    <t>展现社会身份地位</t>
  </si>
  <si>
    <t>展现经济实力</t>
  </si>
  <si>
    <t>展现技术实力</t>
  </si>
  <si>
    <t>出行自由，距离不受限制，想去哪就去哪</t>
  </si>
  <si>
    <t>车内活动自由，可娱乐、办公、小憩休息、睡觉、吃饭等</t>
  </si>
  <si>
    <t>车内交互自由，可轻松自由的进行交互操作</t>
  </si>
  <si>
    <t>户外探索和冒险的自由感，不同路况和天气环境都能胜任</t>
  </si>
  <si>
    <t>户外活动和场景自由，可户外露营、冲浪、钓鱼等活动</t>
  </si>
  <si>
    <t>弱需求</t>
  </si>
  <si>
    <t>表达形象的独特性、审美的与众不同</t>
  </si>
  <si>
    <t>表达专属性、稀缺性，独一无二</t>
  </si>
  <si>
    <t>表达小众文化和价值取向的不同</t>
  </si>
  <si>
    <t>支持国产、本土、民族品牌的社会责任感</t>
  </si>
  <si>
    <t>环保，可持续的社会责任感</t>
  </si>
  <si>
    <t>帮助他人、共享资源的社会责任感</t>
  </si>
  <si>
    <t>保障公共安全、保护他人、驾驶安全的社会责任感</t>
  </si>
  <si>
    <t>乘坐舒适</t>
  </si>
  <si>
    <t>驾驶平稳舒适</t>
  </si>
  <si>
    <t>空间舒适</t>
  </si>
  <si>
    <t>声音舒适/环境安静</t>
  </si>
  <si>
    <t>环境氛围舒适</t>
  </si>
  <si>
    <t>空气清新舒适</t>
  </si>
  <si>
    <t>温度舒适</t>
  </si>
  <si>
    <t>乘坐空间</t>
  </si>
  <si>
    <t>储物空间</t>
  </si>
  <si>
    <t>空间功能与灵活性，功能丰富，满足不同场景</t>
  </si>
  <si>
    <t>空间带来的进出便利</t>
  </si>
  <si>
    <t>空间视觉感受（空间视野感等）</t>
  </si>
  <si>
    <t>满足出行距离需求，续航里程、补能基础设施保障</t>
  </si>
  <si>
    <t>满足基础驾驶功能，加速、制动、转向等</t>
  </si>
  <si>
    <t>满足出行效率需求，充换电速度等补能效率等</t>
  </si>
  <si>
    <t>满足基础出行场景，实现通勤等需求</t>
  </si>
  <si>
    <t>解放驾驶精力，减轻驾驶疲劳</t>
  </si>
  <si>
    <t>提高补能效率，减少补能时间</t>
  </si>
  <si>
    <t>减少维修、保养、处理问题的时间和精力</t>
  </si>
  <si>
    <t>提高出行效率，出行路线和规划最优</t>
  </si>
  <si>
    <t>减少操作精力，轻松交互，直观易懂</t>
  </si>
  <si>
    <t>产品质量稳定可靠</t>
  </si>
  <si>
    <t>产品售后服务稳定可靠</t>
  </si>
  <si>
    <t>品牌和公司稳定可靠</t>
  </si>
  <si>
    <t>使用成本</t>
  </si>
  <si>
    <t>保养成本</t>
  </si>
  <si>
    <t>购买成本</t>
  </si>
  <si>
    <t>维修成本</t>
  </si>
  <si>
    <t>保险成本</t>
  </si>
  <si>
    <t>资产保值</t>
  </si>
  <si>
    <t>经济收益价值</t>
  </si>
  <si>
    <t>车内休闲娱乐方式的多样丰富性</t>
  </si>
  <si>
    <t>车带来户外娱乐方式和活动的拓展</t>
  </si>
  <si>
    <t>驾驶操控便利性</t>
  </si>
  <si>
    <t>车机软件功能如导航交互操作便利</t>
  </si>
  <si>
    <t>远程查看和操作功能便利，如远程调节车内空调温度</t>
  </si>
  <si>
    <t>出行带来的整体生活便利性</t>
  </si>
  <si>
    <t>补能便利性</t>
  </si>
  <si>
    <t>车内硬件功能如座椅调节操作便利</t>
  </si>
  <si>
    <t>储物和拿取便利性</t>
  </si>
  <si>
    <t>上下车进出便利性</t>
  </si>
  <si>
    <t>身体舒适健康，符合人体工程学</t>
  </si>
  <si>
    <t>空气质量健康，清新无异味、无有害物质</t>
  </si>
  <si>
    <t>健康监测和主动建议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</si>
</sst>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9"/>
      <color rgb="FF1F2329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9.75"/>
      <color rgb="FFFFFFFF"/>
      <name val="等线"/>
      <family val="2"/>
      <scheme val="minor"/>
    </font>
    <font>
      <b/>
      <sz val="10"/>
      <color rgb="FF1F2329"/>
      <name val="等线"/>
      <family val="4"/>
      <charset val="134"/>
      <scheme val="minor"/>
    </font>
    <font>
      <sz val="9"/>
      <color rgb="FF1F2329"/>
      <name val="等线"/>
      <family val="4"/>
      <charset val="134"/>
      <scheme val="minor"/>
    </font>
    <font>
      <sz val="10"/>
      <color rgb="FF1F2329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85">
    <fill>
      <patternFill patternType="none"/>
    </fill>
    <fill>
      <patternFill patternType="gray125"/>
    </fill>
    <fill>
      <patternFill patternType="solid">
        <fgColor rgb="FFD2EBCF"/>
      </patternFill>
    </fill>
    <fill>
      <patternFill patternType="solid">
        <fgColor rgb="FFC6E6C2"/>
      </patternFill>
    </fill>
    <fill>
      <patternFill patternType="solid">
        <fgColor rgb="FFEBF6E9"/>
      </patternFill>
    </fill>
    <fill>
      <patternFill patternType="solid">
        <fgColor rgb="FFDDF0DB"/>
      </patternFill>
    </fill>
    <fill>
      <patternFill patternType="solid">
        <fgColor rgb="FFD6EDD4"/>
      </patternFill>
    </fill>
    <fill>
      <patternFill patternType="solid">
        <fgColor rgb="FFEBF6E9"/>
      </patternFill>
    </fill>
    <fill>
      <patternFill patternType="solid">
        <fgColor rgb="FFDDF0DB"/>
      </patternFill>
    </fill>
    <fill>
      <patternFill patternType="solid">
        <fgColor rgb="FFC6E6C2"/>
      </patternFill>
    </fill>
    <fill>
      <patternFill patternType="solid">
        <fgColor rgb="FFA2D79C"/>
      </patternFill>
    </fill>
    <fill>
      <patternFill patternType="solid">
        <fgColor rgb="FFD3ECD0"/>
      </patternFill>
    </fill>
    <fill>
      <patternFill patternType="solid">
        <fgColor rgb="FFB6DFB1"/>
      </patternFill>
    </fill>
    <fill>
      <patternFill patternType="solid">
        <fgColor rgb="FFEBF6E9"/>
      </patternFill>
    </fill>
    <fill>
      <patternFill patternType="solid">
        <fgColor rgb="FFCAE8C7"/>
      </patternFill>
    </fill>
    <fill>
      <patternFill patternType="solid">
        <fgColor rgb="FF95D18E"/>
      </patternFill>
    </fill>
    <fill>
      <patternFill patternType="solid">
        <fgColor rgb="FFBAE1B5"/>
      </patternFill>
    </fill>
    <fill>
      <patternFill patternType="solid">
        <fgColor rgb="FFC4E5C1"/>
      </patternFill>
    </fill>
    <fill>
      <patternFill patternType="solid">
        <fgColor rgb="FFC2E4BE"/>
      </patternFill>
    </fill>
    <fill>
      <patternFill patternType="solid">
        <fgColor rgb="FFCEEACB"/>
      </patternFill>
    </fill>
    <fill>
      <patternFill patternType="solid">
        <fgColor rgb="FFD6EDD4"/>
      </patternFill>
    </fill>
    <fill>
      <patternFill patternType="solid">
        <fgColor rgb="FFDEF1DC"/>
      </patternFill>
    </fill>
    <fill>
      <patternFill patternType="solid">
        <fgColor rgb="FF6CBF63"/>
      </patternFill>
    </fill>
    <fill>
      <patternFill patternType="solid">
        <fgColor rgb="FFCBE8C8"/>
      </patternFill>
    </fill>
    <fill>
      <patternFill patternType="solid">
        <fgColor rgb="FFDEF1DC"/>
      </patternFill>
    </fill>
    <fill>
      <patternFill patternType="solid">
        <fgColor rgb="FFDBEFD9"/>
      </patternFill>
    </fill>
    <fill>
      <patternFill patternType="solid">
        <fgColor rgb="FFC6E6C2"/>
      </patternFill>
    </fill>
    <fill>
      <patternFill patternType="solid">
        <fgColor rgb="FFC1E4BD"/>
      </patternFill>
    </fill>
    <fill>
      <patternFill patternType="solid">
        <fgColor rgb="FFD6EDD4"/>
      </patternFill>
    </fill>
    <fill>
      <patternFill patternType="solid">
        <fgColor rgb="FFD7EDD4"/>
      </patternFill>
    </fill>
    <fill>
      <patternFill patternType="solid">
        <fgColor rgb="FFBEE3BA"/>
      </patternFill>
    </fill>
    <fill>
      <patternFill patternType="solid">
        <fgColor rgb="FFD6EDD4"/>
      </patternFill>
    </fill>
    <fill>
      <patternFill patternType="solid">
        <fgColor rgb="FFC1E4BD"/>
      </patternFill>
    </fill>
    <fill>
      <patternFill patternType="solid">
        <fgColor rgb="FFDEF1DC"/>
      </patternFill>
    </fill>
    <fill>
      <patternFill patternType="solid">
        <fgColor rgb="FFEBF6E9"/>
      </patternFill>
    </fill>
    <fill>
      <patternFill patternType="solid">
        <fgColor rgb="FFEFF8EE"/>
      </patternFill>
    </fill>
    <fill>
      <patternFill patternType="solid">
        <fgColor rgb="FFC2E4BE"/>
      </patternFill>
    </fill>
    <fill>
      <patternFill patternType="solid">
        <fgColor rgb="FFA3D79D"/>
      </patternFill>
    </fill>
    <fill>
      <patternFill patternType="solid">
        <fgColor rgb="FFDEF1DC"/>
      </patternFill>
    </fill>
    <fill>
      <patternFill patternType="solid">
        <fgColor rgb="FFC9E7C5"/>
      </patternFill>
    </fill>
    <fill>
      <patternFill patternType="solid">
        <fgColor rgb="FFDAEFD7"/>
      </patternFill>
    </fill>
    <fill>
      <patternFill patternType="solid">
        <fgColor rgb="FFCAE8C7"/>
      </patternFill>
    </fill>
    <fill>
      <patternFill patternType="solid">
        <fgColor rgb="FFE0F2DE"/>
      </patternFill>
    </fill>
    <fill>
      <patternFill patternType="solid">
        <fgColor rgb="FFEBF6E9"/>
      </patternFill>
    </fill>
    <fill>
      <patternFill patternType="solid">
        <fgColor rgb="FFEDF7EB"/>
      </patternFill>
    </fill>
    <fill>
      <patternFill patternType="solid">
        <fgColor rgb="FFDCF0DA"/>
      </patternFill>
    </fill>
    <fill>
      <patternFill patternType="solid">
        <fgColor rgb="FFD6EDD4"/>
      </patternFill>
    </fill>
    <fill>
      <patternFill patternType="solid">
        <fgColor rgb="FFC3E5BF"/>
      </patternFill>
    </fill>
    <fill>
      <patternFill patternType="solid">
        <fgColor rgb="FFC0E3BC"/>
      </patternFill>
    </fill>
    <fill>
      <patternFill patternType="solid">
        <fgColor rgb="FFDEF1DC"/>
      </patternFill>
    </fill>
    <fill>
      <patternFill patternType="solid">
        <fgColor rgb="FF9DD497"/>
      </patternFill>
    </fill>
    <fill>
      <patternFill patternType="solid">
        <fgColor rgb="FFB6DFB1"/>
      </patternFill>
    </fill>
    <fill>
      <patternFill patternType="solid">
        <fgColor rgb="FFCEEACB"/>
      </patternFill>
    </fill>
    <fill>
      <patternFill patternType="solid">
        <fgColor rgb="FFDCF0DA"/>
      </patternFill>
    </fill>
    <fill>
      <patternFill patternType="solid">
        <fgColor rgb="FFDFF1DD"/>
      </patternFill>
    </fill>
    <fill>
      <patternFill patternType="solid">
        <fgColor rgb="FFA7D9A2"/>
      </patternFill>
    </fill>
    <fill>
      <patternFill patternType="solid">
        <fgColor rgb="FFDAEFD8"/>
      </patternFill>
    </fill>
    <fill>
      <patternFill patternType="solid">
        <fgColor rgb="FFCAE8C7"/>
      </patternFill>
    </fill>
    <fill>
      <patternFill patternType="solid">
        <fgColor rgb="FFDEF1DC"/>
      </patternFill>
    </fill>
    <fill>
      <patternFill patternType="solid">
        <fgColor rgb="FF8DCD86"/>
      </patternFill>
    </fill>
    <fill>
      <patternFill patternType="solid">
        <fgColor rgb="FFE2F3E1"/>
      </patternFill>
    </fill>
    <fill>
      <patternFill patternType="solid">
        <fgColor rgb="FFD6EDD4"/>
      </patternFill>
    </fill>
    <fill>
      <patternFill patternType="solid">
        <fgColor rgb="FFC9E8C6"/>
      </patternFill>
    </fill>
    <fill>
      <patternFill patternType="solid">
        <fgColor rgb="FFEBF6E9"/>
      </patternFill>
    </fill>
    <fill>
      <patternFill patternType="solid">
        <fgColor rgb="FFD6EDD4"/>
      </patternFill>
    </fill>
    <fill>
      <patternFill patternType="solid">
        <fgColor rgb="FFE2F3E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2EA121"/>
      </patternFill>
    </fill>
    <fill>
      <patternFill patternType="solid">
        <fgColor rgb="FFADDBA8"/>
      </patternFill>
    </fill>
    <fill>
      <patternFill patternType="solid">
        <fgColor rgb="FFE2F3E1"/>
      </patternFill>
    </fill>
    <fill>
      <patternFill patternType="solid">
        <fgColor rgb="FFD6EDD4"/>
      </patternFill>
    </fill>
    <fill>
      <patternFill patternType="solid">
        <fgColor rgb="FFB5DFB0"/>
      </patternFill>
    </fill>
    <fill>
      <patternFill patternType="solid">
        <fgColor rgb="FFE2F3E1"/>
      </patternFill>
    </fill>
    <fill>
      <patternFill patternType="solid">
        <fgColor rgb="FFCAE8C7"/>
      </patternFill>
    </fill>
    <fill>
      <patternFill patternType="solid">
        <fgColor rgb="FFD7EED5"/>
      </patternFill>
    </fill>
    <fill>
      <patternFill patternType="solid">
        <fgColor rgb="FFBFE3BB"/>
      </patternFill>
    </fill>
    <fill>
      <patternFill patternType="solid">
        <fgColor rgb="FFCEEACB"/>
      </patternFill>
    </fill>
    <fill>
      <patternFill patternType="solid">
        <fgColor rgb="FFF2F9F1"/>
      </patternFill>
    </fill>
    <fill>
      <patternFill patternType="solid">
        <fgColor rgb="FFB6DFB1"/>
      </patternFill>
    </fill>
    <fill>
      <patternFill patternType="solid">
        <fgColor rgb="FFC7E7C4"/>
      </patternFill>
    </fill>
    <fill>
      <patternFill patternType="solid">
        <fgColor rgb="FFDEE0E3"/>
        <bgColor indexed="64"/>
      </patternFill>
    </fill>
    <fill>
      <patternFill patternType="solid">
        <fgColor rgb="FFFFFFFF"/>
        <bgColor indexed="64"/>
      </patternFill>
    </fill>
  </fills>
  <borders count="146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/>
      <bottom style="thin">
        <color rgb="FF1F2329"/>
      </bottom>
      <diagonal/>
    </border>
    <border>
      <left style="thin">
        <color rgb="FFDEE0E3"/>
      </left>
      <right style="thin">
        <color rgb="FFDEE0E3"/>
      </right>
      <top/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16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176" fontId="3" fillId="0" borderId="8" xfId="0" applyNumberFormat="1" applyFont="1" applyBorder="1" applyAlignment="1">
      <alignment horizontal="center" vertical="center"/>
    </xf>
    <xf numFmtId="176" fontId="3" fillId="2" borderId="9" xfId="0" applyNumberFormat="1" applyFont="1" applyFill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176" fontId="4" fillId="3" borderId="13" xfId="0" applyNumberFormat="1" applyFont="1" applyFill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/>
    </xf>
    <xf numFmtId="176" fontId="3" fillId="4" borderId="15" xfId="0" applyNumberFormat="1" applyFont="1" applyFill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3" fillId="5" borderId="17" xfId="0" applyNumberFormat="1" applyFont="1" applyFill="1" applyBorder="1" applyAlignment="1">
      <alignment horizontal="center" vertical="center"/>
    </xf>
    <xf numFmtId="176" fontId="3" fillId="6" borderId="18" xfId="0" applyNumberFormat="1" applyFont="1" applyFill="1" applyBorder="1" applyAlignment="1">
      <alignment horizontal="center" vertical="center" wrapText="1"/>
    </xf>
    <xf numFmtId="176" fontId="3" fillId="7" borderId="19" xfId="0" applyNumberFormat="1" applyFont="1" applyFill="1" applyBorder="1" applyAlignment="1">
      <alignment horizontal="center" vertical="center" wrapText="1"/>
    </xf>
    <xf numFmtId="176" fontId="3" fillId="8" borderId="20" xfId="0" applyNumberFormat="1" applyFont="1" applyFill="1" applyBorder="1" applyAlignment="1">
      <alignment horizontal="center" vertical="center"/>
    </xf>
    <xf numFmtId="176" fontId="3" fillId="9" borderId="21" xfId="0" applyNumberFormat="1" applyFont="1" applyFill="1" applyBorder="1" applyAlignment="1">
      <alignment horizontal="center" vertical="center"/>
    </xf>
    <xf numFmtId="176" fontId="3" fillId="10" borderId="22" xfId="0" applyNumberFormat="1" applyFont="1" applyFill="1" applyBorder="1" applyAlignment="1">
      <alignment horizontal="center" vertical="center"/>
    </xf>
    <xf numFmtId="176" fontId="3" fillId="11" borderId="23" xfId="0" applyNumberFormat="1" applyFont="1" applyFill="1" applyBorder="1" applyAlignment="1">
      <alignment horizontal="center" vertical="center" wrapText="1"/>
    </xf>
    <xf numFmtId="176" fontId="3" fillId="12" borderId="24" xfId="0" applyNumberFormat="1" applyFont="1" applyFill="1" applyBorder="1" applyAlignment="1">
      <alignment horizontal="center" vertical="center"/>
    </xf>
    <xf numFmtId="176" fontId="4" fillId="13" borderId="25" xfId="0" applyNumberFormat="1" applyFont="1" applyFill="1" applyBorder="1" applyAlignment="1">
      <alignment horizontal="center" vertical="center"/>
    </xf>
    <xf numFmtId="176" fontId="3" fillId="14" borderId="26" xfId="0" applyNumberFormat="1" applyFont="1" applyFill="1" applyBorder="1" applyAlignment="1">
      <alignment horizontal="center" vertical="center"/>
    </xf>
    <xf numFmtId="176" fontId="3" fillId="15" borderId="27" xfId="0" applyNumberFormat="1" applyFont="1" applyFill="1" applyBorder="1" applyAlignment="1">
      <alignment horizontal="center" vertical="center"/>
    </xf>
    <xf numFmtId="176" fontId="3" fillId="16" borderId="28" xfId="0" applyNumberFormat="1" applyFont="1" applyFill="1" applyBorder="1" applyAlignment="1">
      <alignment horizontal="center" vertical="center"/>
    </xf>
    <xf numFmtId="176" fontId="3" fillId="17" borderId="29" xfId="0" applyNumberFormat="1" applyFont="1" applyFill="1" applyBorder="1" applyAlignment="1">
      <alignment horizontal="center" vertical="center"/>
    </xf>
    <xf numFmtId="9" fontId="2" fillId="0" borderId="30" xfId="0" applyNumberFormat="1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 wrapText="1"/>
    </xf>
    <xf numFmtId="176" fontId="4" fillId="18" borderId="32" xfId="0" applyNumberFormat="1" applyFont="1" applyFill="1" applyBorder="1" applyAlignment="1">
      <alignment horizontal="center" vertical="center"/>
    </xf>
    <xf numFmtId="176" fontId="3" fillId="19" borderId="33" xfId="0" applyNumberFormat="1" applyFont="1" applyFill="1" applyBorder="1" applyAlignment="1">
      <alignment horizontal="center" vertical="center"/>
    </xf>
    <xf numFmtId="176" fontId="3" fillId="20" borderId="34" xfId="0" applyNumberFormat="1" applyFont="1" applyFill="1" applyBorder="1" applyAlignment="1">
      <alignment horizontal="center" vertical="center"/>
    </xf>
    <xf numFmtId="176" fontId="3" fillId="21" borderId="35" xfId="0" applyNumberFormat="1" applyFont="1" applyFill="1" applyBorder="1" applyAlignment="1">
      <alignment horizontal="center" vertical="center"/>
    </xf>
    <xf numFmtId="176" fontId="3" fillId="22" borderId="36" xfId="0" applyNumberFormat="1" applyFont="1" applyFill="1" applyBorder="1" applyAlignment="1">
      <alignment horizontal="center" vertical="center"/>
    </xf>
    <xf numFmtId="176" fontId="3" fillId="23" borderId="37" xfId="0" applyNumberFormat="1" applyFont="1" applyFill="1" applyBorder="1" applyAlignment="1">
      <alignment horizontal="center" vertical="center"/>
    </xf>
    <xf numFmtId="176" fontId="3" fillId="24" borderId="38" xfId="0" applyNumberFormat="1" applyFont="1" applyFill="1" applyBorder="1" applyAlignment="1">
      <alignment horizontal="center" vertical="center"/>
    </xf>
    <xf numFmtId="176" fontId="3" fillId="25" borderId="39" xfId="0" applyNumberFormat="1" applyFont="1" applyFill="1" applyBorder="1" applyAlignment="1">
      <alignment horizontal="center" vertical="center"/>
    </xf>
    <xf numFmtId="176" fontId="3" fillId="26" borderId="40" xfId="0" applyNumberFormat="1" applyFont="1" applyFill="1" applyBorder="1" applyAlignment="1">
      <alignment horizontal="center" vertical="center"/>
    </xf>
    <xf numFmtId="176" fontId="3" fillId="27" borderId="41" xfId="0" applyNumberFormat="1" applyFont="1" applyFill="1" applyBorder="1" applyAlignment="1">
      <alignment horizontal="center" vertical="center"/>
    </xf>
    <xf numFmtId="176" fontId="4" fillId="28" borderId="42" xfId="0" applyNumberFormat="1" applyFont="1" applyFill="1" applyBorder="1" applyAlignment="1">
      <alignment horizontal="center" vertical="center"/>
    </xf>
    <xf numFmtId="176" fontId="3" fillId="29" borderId="43" xfId="0" applyNumberFormat="1" applyFont="1" applyFill="1" applyBorder="1" applyAlignment="1">
      <alignment horizontal="center" vertical="center"/>
    </xf>
    <xf numFmtId="176" fontId="3" fillId="30" borderId="44" xfId="0" applyNumberFormat="1" applyFont="1" applyFill="1" applyBorder="1" applyAlignment="1">
      <alignment horizontal="center" vertical="center"/>
    </xf>
    <xf numFmtId="176" fontId="3" fillId="0" borderId="45" xfId="0" applyNumberFormat="1" applyFont="1" applyBorder="1" applyAlignment="1">
      <alignment horizontal="center" vertical="center" wrapText="1"/>
    </xf>
    <xf numFmtId="176" fontId="3" fillId="31" borderId="46" xfId="0" applyNumberFormat="1" applyFont="1" applyFill="1" applyBorder="1" applyAlignment="1">
      <alignment horizontal="center" vertical="center"/>
    </xf>
    <xf numFmtId="176" fontId="4" fillId="0" borderId="47" xfId="0" applyNumberFormat="1" applyFont="1" applyBorder="1" applyAlignment="1">
      <alignment horizontal="center" vertical="center"/>
    </xf>
    <xf numFmtId="176" fontId="3" fillId="0" borderId="48" xfId="0" applyNumberFormat="1" applyFont="1" applyBorder="1" applyAlignment="1">
      <alignment horizontal="center" vertical="center"/>
    </xf>
    <xf numFmtId="176" fontId="3" fillId="32" borderId="49" xfId="0" applyNumberFormat="1" applyFont="1" applyFill="1" applyBorder="1" applyAlignment="1">
      <alignment horizontal="center" vertical="center"/>
    </xf>
    <xf numFmtId="176" fontId="3" fillId="33" borderId="50" xfId="0" applyNumberFormat="1" applyFont="1" applyFill="1" applyBorder="1" applyAlignment="1">
      <alignment horizontal="center" vertical="center"/>
    </xf>
    <xf numFmtId="176" fontId="3" fillId="34" borderId="51" xfId="0" applyNumberFormat="1" applyFont="1" applyFill="1" applyBorder="1" applyAlignment="1">
      <alignment horizontal="center" vertical="center"/>
    </xf>
    <xf numFmtId="176" fontId="3" fillId="35" borderId="52" xfId="0" applyNumberFormat="1" applyFont="1" applyFill="1" applyBorder="1" applyAlignment="1">
      <alignment horizontal="center" vertical="center"/>
    </xf>
    <xf numFmtId="176" fontId="3" fillId="36" borderId="53" xfId="0" applyNumberFormat="1" applyFont="1" applyFill="1" applyBorder="1" applyAlignment="1">
      <alignment horizontal="center" vertical="center"/>
    </xf>
    <xf numFmtId="176" fontId="3" fillId="37" borderId="54" xfId="0" applyNumberFormat="1" applyFont="1" applyFill="1" applyBorder="1" applyAlignment="1">
      <alignment horizontal="center" vertical="center"/>
    </xf>
    <xf numFmtId="176" fontId="3" fillId="38" borderId="55" xfId="0" applyNumberFormat="1" applyFont="1" applyFill="1" applyBorder="1" applyAlignment="1">
      <alignment horizontal="center" vertical="center"/>
    </xf>
    <xf numFmtId="176" fontId="3" fillId="39" borderId="56" xfId="0" applyNumberFormat="1" applyFont="1" applyFill="1" applyBorder="1" applyAlignment="1">
      <alignment horizontal="center" vertical="center"/>
    </xf>
    <xf numFmtId="176" fontId="3" fillId="40" borderId="57" xfId="0" applyNumberFormat="1" applyFont="1" applyFill="1" applyBorder="1" applyAlignment="1">
      <alignment horizontal="center" vertical="center"/>
    </xf>
    <xf numFmtId="176" fontId="4" fillId="41" borderId="58" xfId="0" applyNumberFormat="1" applyFont="1" applyFill="1" applyBorder="1" applyAlignment="1">
      <alignment horizontal="center" vertical="center"/>
    </xf>
    <xf numFmtId="176" fontId="3" fillId="42" borderId="59" xfId="0" applyNumberFormat="1" applyFont="1" applyFill="1" applyBorder="1" applyAlignment="1">
      <alignment horizontal="center" vertical="center"/>
    </xf>
    <xf numFmtId="176" fontId="4" fillId="43" borderId="60" xfId="0" applyNumberFormat="1" applyFont="1" applyFill="1" applyBorder="1" applyAlignment="1">
      <alignment horizontal="center" vertical="center"/>
    </xf>
    <xf numFmtId="176" fontId="3" fillId="44" borderId="61" xfId="0" applyNumberFormat="1" applyFont="1" applyFill="1" applyBorder="1" applyAlignment="1">
      <alignment horizontal="center" vertical="center"/>
    </xf>
    <xf numFmtId="176" fontId="3" fillId="45" borderId="62" xfId="0" applyNumberFormat="1" applyFont="1" applyFill="1" applyBorder="1" applyAlignment="1">
      <alignment horizontal="center" vertical="center"/>
    </xf>
    <xf numFmtId="176" fontId="4" fillId="46" borderId="63" xfId="0" applyNumberFormat="1" applyFont="1" applyFill="1" applyBorder="1" applyAlignment="1">
      <alignment horizontal="center" vertical="center"/>
    </xf>
    <xf numFmtId="176" fontId="3" fillId="47" borderId="64" xfId="0" applyNumberFormat="1" applyFont="1" applyFill="1" applyBorder="1" applyAlignment="1">
      <alignment horizontal="center" vertical="center"/>
    </xf>
    <xf numFmtId="176" fontId="3" fillId="48" borderId="65" xfId="0" applyNumberFormat="1" applyFont="1" applyFill="1" applyBorder="1" applyAlignment="1">
      <alignment horizontal="center" vertical="center"/>
    </xf>
    <xf numFmtId="176" fontId="3" fillId="49" borderId="66" xfId="0" applyNumberFormat="1" applyFont="1" applyFill="1" applyBorder="1" applyAlignment="1">
      <alignment horizontal="center" vertical="center" wrapText="1"/>
    </xf>
    <xf numFmtId="176" fontId="3" fillId="50" borderId="67" xfId="0" applyNumberFormat="1" applyFont="1" applyFill="1" applyBorder="1" applyAlignment="1">
      <alignment horizontal="center" vertical="center"/>
    </xf>
    <xf numFmtId="176" fontId="3" fillId="51" borderId="68" xfId="0" applyNumberFormat="1" applyFont="1" applyFill="1" applyBorder="1" applyAlignment="1">
      <alignment horizontal="center" vertical="center"/>
    </xf>
    <xf numFmtId="176" fontId="3" fillId="52" borderId="69" xfId="0" applyNumberFormat="1" applyFont="1" applyFill="1" applyBorder="1" applyAlignment="1">
      <alignment horizontal="center" vertical="center"/>
    </xf>
    <xf numFmtId="176" fontId="3" fillId="53" borderId="70" xfId="0" applyNumberFormat="1" applyFont="1" applyFill="1" applyBorder="1" applyAlignment="1">
      <alignment horizontal="center" vertical="center"/>
    </xf>
    <xf numFmtId="176" fontId="3" fillId="54" borderId="71" xfId="0" applyNumberFormat="1" applyFont="1" applyFill="1" applyBorder="1" applyAlignment="1">
      <alignment horizontal="center" vertical="center"/>
    </xf>
    <xf numFmtId="176" fontId="3" fillId="55" borderId="72" xfId="0" applyNumberFormat="1" applyFont="1" applyFill="1" applyBorder="1" applyAlignment="1">
      <alignment horizontal="center" vertical="center"/>
    </xf>
    <xf numFmtId="176" fontId="3" fillId="56" borderId="73" xfId="0" applyNumberFormat="1" applyFont="1" applyFill="1" applyBorder="1" applyAlignment="1">
      <alignment horizontal="center" vertical="center"/>
    </xf>
    <xf numFmtId="176" fontId="3" fillId="57" borderId="74" xfId="0" applyNumberFormat="1" applyFont="1" applyFill="1" applyBorder="1" applyAlignment="1">
      <alignment horizontal="center" vertical="center"/>
    </xf>
    <xf numFmtId="176" fontId="4" fillId="58" borderId="75" xfId="0" applyNumberFormat="1" applyFont="1" applyFill="1" applyBorder="1" applyAlignment="1">
      <alignment horizontal="center" vertical="center"/>
    </xf>
    <xf numFmtId="9" fontId="2" fillId="0" borderId="76" xfId="0" applyNumberFormat="1" applyFont="1" applyBorder="1" applyAlignment="1">
      <alignment horizontal="center" vertical="center"/>
    </xf>
    <xf numFmtId="9" fontId="2" fillId="0" borderId="77" xfId="0" applyNumberFormat="1" applyFont="1" applyBorder="1" applyAlignment="1">
      <alignment horizontal="center" vertical="center"/>
    </xf>
    <xf numFmtId="176" fontId="4" fillId="0" borderId="78" xfId="0" applyNumberFormat="1" applyFont="1" applyBorder="1" applyAlignment="1">
      <alignment horizontal="center" vertical="center"/>
    </xf>
    <xf numFmtId="176" fontId="3" fillId="59" borderId="79" xfId="0" applyNumberFormat="1" applyFont="1" applyFill="1" applyBorder="1" applyAlignment="1">
      <alignment horizontal="center" vertical="center"/>
    </xf>
    <xf numFmtId="9" fontId="2" fillId="0" borderId="80" xfId="0" applyNumberFormat="1" applyFont="1" applyBorder="1" applyAlignment="1">
      <alignment horizontal="center" vertical="center"/>
    </xf>
    <xf numFmtId="176" fontId="3" fillId="0" borderId="81" xfId="0" applyNumberFormat="1" applyFont="1" applyBorder="1" applyAlignment="1">
      <alignment horizontal="center" vertical="center"/>
    </xf>
    <xf numFmtId="176" fontId="3" fillId="60" borderId="82" xfId="0" applyNumberFormat="1" applyFont="1" applyFill="1" applyBorder="1" applyAlignment="1">
      <alignment horizontal="center" vertical="center"/>
    </xf>
    <xf numFmtId="176" fontId="3" fillId="61" borderId="83" xfId="0" applyNumberFormat="1" applyFont="1" applyFill="1" applyBorder="1" applyAlignment="1">
      <alignment horizontal="center" vertical="center"/>
    </xf>
    <xf numFmtId="176" fontId="3" fillId="0" borderId="84" xfId="0" applyNumberFormat="1" applyFont="1" applyBorder="1" applyAlignment="1">
      <alignment horizontal="center" vertical="center"/>
    </xf>
    <xf numFmtId="9" fontId="2" fillId="0" borderId="85" xfId="0" applyNumberFormat="1" applyFont="1" applyBorder="1" applyAlignment="1">
      <alignment horizontal="center" vertical="center"/>
    </xf>
    <xf numFmtId="176" fontId="3" fillId="0" borderId="86" xfId="0" applyNumberFormat="1" applyFont="1" applyBorder="1" applyAlignment="1">
      <alignment horizontal="center" vertical="center" wrapText="1"/>
    </xf>
    <xf numFmtId="176" fontId="3" fillId="62" borderId="87" xfId="0" applyNumberFormat="1" applyFont="1" applyFill="1" applyBorder="1" applyAlignment="1">
      <alignment horizontal="center" vertical="center"/>
    </xf>
    <xf numFmtId="0" fontId="1" fillId="0" borderId="88" xfId="0" applyFont="1" applyBorder="1" applyAlignment="1">
      <alignment vertical="center"/>
    </xf>
    <xf numFmtId="176" fontId="3" fillId="0" borderId="89" xfId="0" applyNumberFormat="1" applyFont="1" applyBorder="1" applyAlignment="1">
      <alignment horizontal="center" vertical="center"/>
    </xf>
    <xf numFmtId="176" fontId="3" fillId="0" borderId="90" xfId="0" applyNumberFormat="1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176" fontId="3" fillId="63" borderId="92" xfId="0" applyNumberFormat="1" applyFont="1" applyFill="1" applyBorder="1" applyAlignment="1">
      <alignment horizontal="center" vertical="center" wrapText="1"/>
    </xf>
    <xf numFmtId="0" fontId="1" fillId="0" borderId="93" xfId="0" applyFont="1" applyBorder="1" applyAlignment="1">
      <alignment vertical="center"/>
    </xf>
    <xf numFmtId="176" fontId="2" fillId="0" borderId="94" xfId="0" applyNumberFormat="1" applyFont="1" applyBorder="1" applyAlignment="1">
      <alignment horizontal="center" vertical="center" wrapText="1"/>
    </xf>
    <xf numFmtId="9" fontId="2" fillId="0" borderId="95" xfId="0" applyNumberFormat="1" applyFont="1" applyBorder="1" applyAlignment="1">
      <alignment horizontal="center" vertical="center" wrapText="1"/>
    </xf>
    <xf numFmtId="176" fontId="2" fillId="64" borderId="96" xfId="0" applyNumberFormat="1" applyFont="1" applyFill="1" applyBorder="1" applyAlignment="1">
      <alignment horizontal="center" vertical="center" wrapText="1"/>
    </xf>
    <xf numFmtId="9" fontId="2" fillId="0" borderId="97" xfId="0" applyNumberFormat="1" applyFont="1" applyBorder="1" applyAlignment="1">
      <alignment horizontal="center" vertical="center" wrapText="1"/>
    </xf>
    <xf numFmtId="176" fontId="2" fillId="65" borderId="98" xfId="0" applyNumberFormat="1" applyFont="1" applyFill="1" applyBorder="1" applyAlignment="1">
      <alignment horizontal="center" vertical="center" wrapText="1"/>
    </xf>
    <xf numFmtId="9" fontId="5" fillId="66" borderId="99" xfId="0" applyNumberFormat="1" applyFont="1" applyFill="1" applyBorder="1" applyAlignment="1">
      <alignment horizontal="center" vertical="center" wrapText="1"/>
    </xf>
    <xf numFmtId="9" fontId="5" fillId="67" borderId="100" xfId="0" applyNumberFormat="1" applyFont="1" applyFill="1" applyBorder="1" applyAlignment="1">
      <alignment horizontal="center" vertical="center" wrapText="1"/>
    </xf>
    <xf numFmtId="9" fontId="5" fillId="68" borderId="101" xfId="0" applyNumberFormat="1" applyFont="1" applyFill="1" applyBorder="1" applyAlignment="1">
      <alignment horizontal="center" vertical="center" wrapText="1"/>
    </xf>
    <xf numFmtId="0" fontId="5" fillId="69" borderId="102" xfId="0" applyFont="1" applyFill="1" applyBorder="1" applyAlignment="1">
      <alignment horizontal="center" vertical="center"/>
    </xf>
    <xf numFmtId="9" fontId="5" fillId="0" borderId="103" xfId="0" applyNumberFormat="1" applyFont="1" applyBorder="1" applyAlignment="1">
      <alignment horizontal="center" vertical="center" wrapText="1"/>
    </xf>
    <xf numFmtId="0" fontId="5" fillId="70" borderId="104" xfId="0" applyFont="1" applyFill="1" applyBorder="1" applyAlignment="1">
      <alignment horizontal="center" vertical="center"/>
    </xf>
    <xf numFmtId="176" fontId="4" fillId="71" borderId="105" xfId="0" applyNumberFormat="1" applyFont="1" applyFill="1" applyBorder="1" applyAlignment="1">
      <alignment horizontal="center" vertical="center"/>
    </xf>
    <xf numFmtId="176" fontId="3" fillId="72" borderId="106" xfId="0" applyNumberFormat="1" applyFont="1" applyFill="1" applyBorder="1" applyAlignment="1">
      <alignment horizontal="center" vertical="center"/>
    </xf>
    <xf numFmtId="176" fontId="3" fillId="73" borderId="107" xfId="0" applyNumberFormat="1" applyFont="1" applyFill="1" applyBorder="1" applyAlignment="1">
      <alignment horizontal="center" vertical="center"/>
    </xf>
    <xf numFmtId="176" fontId="3" fillId="74" borderId="108" xfId="0" applyNumberFormat="1" applyFont="1" applyFill="1" applyBorder="1" applyAlignment="1">
      <alignment horizontal="center" vertical="center"/>
    </xf>
    <xf numFmtId="176" fontId="3" fillId="75" borderId="109" xfId="0" applyNumberFormat="1" applyFont="1" applyFill="1" applyBorder="1" applyAlignment="1">
      <alignment horizontal="center" vertical="center"/>
    </xf>
    <xf numFmtId="176" fontId="3" fillId="76" borderId="110" xfId="0" applyNumberFormat="1" applyFont="1" applyFill="1" applyBorder="1" applyAlignment="1">
      <alignment horizontal="center" vertical="center"/>
    </xf>
    <xf numFmtId="176" fontId="3" fillId="77" borderId="111" xfId="0" applyNumberFormat="1" applyFont="1" applyFill="1" applyBorder="1" applyAlignment="1">
      <alignment horizontal="center" vertical="center" wrapText="1"/>
    </xf>
    <xf numFmtId="176" fontId="3" fillId="78" borderId="112" xfId="0" applyNumberFormat="1" applyFont="1" applyFill="1" applyBorder="1" applyAlignment="1">
      <alignment horizontal="center" vertical="center" wrapText="1"/>
    </xf>
    <xf numFmtId="176" fontId="3" fillId="79" borderId="113" xfId="0" applyNumberFormat="1" applyFont="1" applyFill="1" applyBorder="1" applyAlignment="1">
      <alignment horizontal="center" vertical="center"/>
    </xf>
    <xf numFmtId="176" fontId="3" fillId="80" borderId="114" xfId="0" applyNumberFormat="1" applyFont="1" applyFill="1" applyBorder="1" applyAlignment="1">
      <alignment horizontal="center" vertical="center"/>
    </xf>
    <xf numFmtId="176" fontId="3" fillId="81" borderId="115" xfId="0" applyNumberFormat="1" applyFont="1" applyFill="1" applyBorder="1" applyAlignment="1">
      <alignment horizontal="center" vertical="center" wrapText="1"/>
    </xf>
    <xf numFmtId="176" fontId="3" fillId="82" borderId="116" xfId="0" applyNumberFormat="1" applyFont="1" applyFill="1" applyBorder="1" applyAlignment="1">
      <alignment horizontal="center" vertical="center"/>
    </xf>
    <xf numFmtId="176" fontId="4" fillId="0" borderId="117" xfId="0" applyNumberFormat="1" applyFont="1" applyBorder="1" applyAlignment="1">
      <alignment horizontal="center" vertical="center"/>
    </xf>
    <xf numFmtId="176" fontId="4" fillId="0" borderId="118" xfId="0" applyNumberFormat="1" applyFont="1" applyBorder="1" applyAlignment="1">
      <alignment horizontal="center" vertical="center"/>
    </xf>
    <xf numFmtId="176" fontId="4" fillId="0" borderId="119" xfId="0" applyNumberFormat="1" applyFont="1" applyBorder="1" applyAlignment="1">
      <alignment horizontal="center" vertical="center"/>
    </xf>
    <xf numFmtId="176" fontId="4" fillId="0" borderId="120" xfId="0" applyNumberFormat="1" applyFont="1" applyBorder="1" applyAlignment="1">
      <alignment horizontal="center" vertical="center"/>
    </xf>
    <xf numFmtId="176" fontId="4" fillId="0" borderId="121" xfId="0" applyNumberFormat="1" applyFont="1" applyBorder="1" applyAlignment="1">
      <alignment horizontal="center" vertical="center"/>
    </xf>
    <xf numFmtId="176" fontId="4" fillId="0" borderId="122" xfId="0" applyNumberFormat="1" applyFont="1" applyBorder="1" applyAlignment="1">
      <alignment horizontal="center" vertical="center"/>
    </xf>
    <xf numFmtId="0" fontId="1" fillId="0" borderId="123" xfId="0" applyFont="1" applyBorder="1" applyAlignment="1">
      <alignment vertical="center"/>
    </xf>
    <xf numFmtId="176" fontId="4" fillId="0" borderId="124" xfId="0" applyNumberFormat="1" applyFont="1" applyBorder="1" applyAlignment="1">
      <alignment horizontal="center" vertical="center"/>
    </xf>
    <xf numFmtId="176" fontId="4" fillId="0" borderId="125" xfId="0" applyNumberFormat="1" applyFont="1" applyBorder="1" applyAlignment="1">
      <alignment horizontal="center" vertical="center"/>
    </xf>
    <xf numFmtId="176" fontId="4" fillId="0" borderId="126" xfId="0" applyNumberFormat="1" applyFont="1" applyBorder="1" applyAlignment="1">
      <alignment horizontal="center" vertical="center"/>
    </xf>
    <xf numFmtId="9" fontId="4" fillId="0" borderId="127" xfId="0" applyNumberFormat="1" applyFont="1" applyBorder="1" applyAlignment="1">
      <alignment horizontal="center" vertical="center"/>
    </xf>
    <xf numFmtId="9" fontId="4" fillId="0" borderId="128" xfId="0" applyNumberFormat="1" applyFont="1" applyBorder="1" applyAlignment="1">
      <alignment horizontal="center" vertical="center"/>
    </xf>
    <xf numFmtId="176" fontId="4" fillId="0" borderId="129" xfId="0" applyNumberFormat="1" applyFont="1" applyBorder="1" applyAlignment="1">
      <alignment horizontal="center" vertical="center"/>
    </xf>
    <xf numFmtId="0" fontId="6" fillId="83" borderId="130" xfId="0" applyFont="1" applyFill="1" applyBorder="1" applyAlignment="1">
      <alignment horizontal="center" vertical="center"/>
    </xf>
    <xf numFmtId="0" fontId="6" fillId="83" borderId="131" xfId="0" applyFont="1" applyFill="1" applyBorder="1" applyAlignment="1">
      <alignment horizontal="center" vertical="center"/>
    </xf>
    <xf numFmtId="10" fontId="6" fillId="84" borderId="136" xfId="0" applyNumberFormat="1" applyFont="1" applyFill="1" applyBorder="1" applyAlignment="1">
      <alignment horizontal="center" vertical="center"/>
    </xf>
    <xf numFmtId="0" fontId="7" fillId="84" borderId="136" xfId="0" applyFont="1" applyFill="1" applyBorder="1" applyAlignment="1">
      <alignment horizontal="left" vertical="center"/>
    </xf>
    <xf numFmtId="10" fontId="7" fillId="84" borderId="136" xfId="0" applyNumberFormat="1" applyFont="1" applyFill="1" applyBorder="1" applyAlignment="1">
      <alignment horizontal="center" vertical="center"/>
    </xf>
    <xf numFmtId="10" fontId="6" fillId="84" borderId="130" xfId="0" applyNumberFormat="1" applyFont="1" applyFill="1" applyBorder="1" applyAlignment="1">
      <alignment horizontal="center" vertical="center"/>
    </xf>
    <xf numFmtId="0" fontId="7" fillId="84" borderId="130" xfId="0" applyFont="1" applyFill="1" applyBorder="1" applyAlignment="1">
      <alignment horizontal="left"/>
    </xf>
    <xf numFmtId="10" fontId="7" fillId="84" borderId="130" xfId="0" applyNumberFormat="1" applyFont="1" applyFill="1" applyBorder="1" applyAlignment="1">
      <alignment horizontal="center" vertical="center"/>
    </xf>
    <xf numFmtId="0" fontId="8" fillId="84" borderId="131" xfId="0" applyFont="1" applyFill="1" applyBorder="1" applyAlignment="1">
      <alignment horizontal="center" vertical="center"/>
    </xf>
    <xf numFmtId="0" fontId="7" fillId="84" borderId="136" xfId="0" applyFont="1" applyFill="1" applyBorder="1" applyAlignment="1">
      <alignment horizontal="left"/>
    </xf>
    <xf numFmtId="10" fontId="8" fillId="84" borderId="130" xfId="0" applyNumberFormat="1" applyFont="1" applyFill="1" applyBorder="1" applyAlignment="1">
      <alignment horizontal="center" vertical="center"/>
    </xf>
    <xf numFmtId="10" fontId="8" fillId="84" borderId="140" xfId="0" applyNumberFormat="1" applyFont="1" applyFill="1" applyBorder="1" applyAlignment="1">
      <alignment horizontal="center" vertical="center"/>
    </xf>
    <xf numFmtId="10" fontId="7" fillId="84" borderId="140" xfId="0" applyNumberFormat="1" applyFont="1" applyFill="1" applyBorder="1" applyAlignment="1">
      <alignment horizontal="center" vertical="center"/>
    </xf>
    <xf numFmtId="0" fontId="8" fillId="84" borderId="132" xfId="0" applyFont="1" applyFill="1" applyBorder="1" applyAlignment="1">
      <alignment horizontal="center" vertical="center"/>
    </xf>
    <xf numFmtId="0" fontId="8" fillId="84" borderId="136" xfId="0" applyFont="1" applyFill="1" applyBorder="1" applyAlignment="1">
      <alignment horizontal="center" vertical="center"/>
    </xf>
    <xf numFmtId="0" fontId="8" fillId="84" borderId="130" xfId="0" applyFont="1" applyFill="1" applyBorder="1" applyAlignment="1">
      <alignment horizontal="center" vertical="center"/>
    </xf>
    <xf numFmtId="0" fontId="7" fillId="84" borderId="136" xfId="0" applyFont="1" applyFill="1" applyBorder="1"/>
    <xf numFmtId="0" fontId="7" fillId="84" borderId="130" xfId="0" applyFont="1" applyFill="1" applyBorder="1"/>
    <xf numFmtId="0" fontId="7" fillId="84" borderId="140" xfId="0" applyFont="1" applyFill="1" applyBorder="1"/>
    <xf numFmtId="0" fontId="8" fillId="84" borderId="141" xfId="0" applyFont="1" applyFill="1" applyBorder="1" applyAlignment="1">
      <alignment horizontal="center" vertical="center"/>
    </xf>
    <xf numFmtId="0" fontId="8" fillId="84" borderId="140" xfId="0" applyFont="1" applyFill="1" applyBorder="1" applyAlignment="1">
      <alignment horizontal="center" vertical="center"/>
    </xf>
    <xf numFmtId="0" fontId="6" fillId="84" borderId="137" xfId="0" applyFont="1" applyFill="1" applyBorder="1" applyAlignment="1">
      <alignment horizontal="center" vertical="center"/>
    </xf>
    <xf numFmtId="0" fontId="6" fillId="84" borderId="138" xfId="0" applyFont="1" applyFill="1" applyBorder="1" applyAlignment="1">
      <alignment horizontal="center" vertical="center"/>
    </xf>
    <xf numFmtId="0" fontId="6" fillId="84" borderId="143" xfId="0" applyFont="1" applyFill="1" applyBorder="1" applyAlignment="1">
      <alignment horizontal="center" vertical="center"/>
    </xf>
    <xf numFmtId="0" fontId="6" fillId="84" borderId="139" xfId="0" applyFont="1" applyFill="1" applyBorder="1" applyAlignment="1">
      <alignment horizontal="center" vertical="center"/>
    </xf>
    <xf numFmtId="0" fontId="6" fillId="84" borderId="133" xfId="0" applyFont="1" applyFill="1" applyBorder="1" applyAlignment="1">
      <alignment horizontal="left" vertical="center"/>
    </xf>
    <xf numFmtId="0" fontId="6" fillId="84" borderId="134" xfId="0" applyFont="1" applyFill="1" applyBorder="1" applyAlignment="1">
      <alignment horizontal="left" vertical="center"/>
    </xf>
    <xf numFmtId="0" fontId="6" fillId="84" borderId="142" xfId="0" applyFont="1" applyFill="1" applyBorder="1" applyAlignment="1">
      <alignment horizontal="left" vertical="center"/>
    </xf>
    <xf numFmtId="0" fontId="6" fillId="84" borderId="144" xfId="0" applyFont="1" applyFill="1" applyBorder="1" applyAlignment="1">
      <alignment horizontal="left" vertical="center"/>
    </xf>
    <xf numFmtId="0" fontId="6" fillId="84" borderId="135" xfId="0" applyFont="1" applyFill="1" applyBorder="1" applyAlignment="1">
      <alignment horizontal="left" vertical="center"/>
    </xf>
    <xf numFmtId="0" fontId="6" fillId="84" borderId="14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V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C944-6F33-084B-AEF7-8CAE45053160}">
  <sheetPr>
    <outlinePr summaryBelow="0" summaryRight="0"/>
  </sheetPr>
  <dimension ref="B1:AA200"/>
  <sheetViews>
    <sheetView workbookViewId="0"/>
  </sheetViews>
  <sheetFormatPr baseColWidth="10" defaultColWidth="14" defaultRowHeight="13"/>
  <cols>
    <col min="4" max="4" width="23" customWidth="1"/>
    <col min="16" max="16" width="22" customWidth="1"/>
    <col min="27" max="27" width="14" customWidth="1"/>
  </cols>
  <sheetData>
    <row r="1" spans="2:27">
      <c r="AA1" s="1"/>
    </row>
    <row r="2" spans="2:27">
      <c r="D2" s="1" t="s">
        <v>0</v>
      </c>
      <c r="P2" s="1" t="s">
        <v>1</v>
      </c>
      <c r="AA2" s="1"/>
    </row>
    <row r="3" spans="2:27" ht="28">
      <c r="B3" s="102" t="s">
        <v>2</v>
      </c>
      <c r="C3" s="104" t="s">
        <v>3</v>
      </c>
      <c r="D3" s="99" t="s">
        <v>4</v>
      </c>
      <c r="E3" s="100" t="s">
        <v>5</v>
      </c>
      <c r="F3" s="100" t="s">
        <v>6</v>
      </c>
      <c r="G3" s="100" t="s">
        <v>7</v>
      </c>
      <c r="H3" s="100" t="s">
        <v>8</v>
      </c>
      <c r="I3" s="100" t="s">
        <v>9</v>
      </c>
      <c r="J3" s="100" t="s">
        <v>10</v>
      </c>
      <c r="K3" s="100" t="s">
        <v>11</v>
      </c>
      <c r="L3" s="100" t="s">
        <v>12</v>
      </c>
      <c r="M3" s="100" t="s">
        <v>13</v>
      </c>
      <c r="N3" s="101" t="s">
        <v>14</v>
      </c>
      <c r="P3" s="100" t="s">
        <v>4</v>
      </c>
      <c r="Q3" s="100" t="s">
        <v>5</v>
      </c>
      <c r="R3" s="100" t="s">
        <v>6</v>
      </c>
      <c r="S3" s="100" t="s">
        <v>7</v>
      </c>
      <c r="T3" s="100" t="s">
        <v>8</v>
      </c>
      <c r="U3" s="100" t="s">
        <v>9</v>
      </c>
      <c r="V3" s="100" t="s">
        <v>10</v>
      </c>
      <c r="W3" s="100" t="s">
        <v>11</v>
      </c>
      <c r="X3" s="100" t="s">
        <v>12</v>
      </c>
      <c r="Y3" s="100" t="s">
        <v>13</v>
      </c>
      <c r="Z3" s="101" t="s">
        <v>14</v>
      </c>
      <c r="AA3" s="103"/>
    </row>
    <row r="4" spans="2:27">
      <c r="B4" s="93" t="e">
        <f>VLOOKUP(D4,[1]UV!A:C,3,0)</f>
        <v>#N/A</v>
      </c>
      <c r="C4" s="3" t="e">
        <f>VLOOKUP(D4,[1]UV!A:B,2,0)</f>
        <v>#N/A</v>
      </c>
      <c r="D4" s="95" t="s">
        <v>15</v>
      </c>
      <c r="E4" s="2">
        <v>0</v>
      </c>
      <c r="F4" s="10">
        <v>0</v>
      </c>
      <c r="G4" s="94">
        <v>0</v>
      </c>
      <c r="H4" s="96">
        <v>0.1</v>
      </c>
      <c r="I4" s="98">
        <v>7.0000000000000007E-2</v>
      </c>
      <c r="J4" s="10">
        <v>0</v>
      </c>
      <c r="K4" s="94">
        <v>0</v>
      </c>
      <c r="L4" s="10">
        <v>0</v>
      </c>
      <c r="M4" s="94">
        <v>0</v>
      </c>
      <c r="N4" s="2">
        <v>0</v>
      </c>
      <c r="O4" s="6">
        <f t="shared" ref="O4:O24" si="0">SUM(E4:N4)</f>
        <v>0.17</v>
      </c>
      <c r="P4" s="97" t="s">
        <v>15</v>
      </c>
      <c r="Q4" s="2">
        <f t="shared" ref="Q4:Q24" si="1">E4/$O4</f>
        <v>0</v>
      </c>
      <c r="R4" s="2">
        <f t="shared" ref="R4:R24" si="2">F4/$O4</f>
        <v>0</v>
      </c>
      <c r="S4" s="2">
        <f t="shared" ref="S4:S24" si="3">G4/$O4</f>
        <v>0</v>
      </c>
      <c r="T4" s="2">
        <f t="shared" ref="T4:T24" si="4">H4/$O4</f>
        <v>0.58823529411764708</v>
      </c>
      <c r="U4" s="2">
        <f t="shared" ref="U4:U24" si="5">I4/$O4</f>
        <v>0.41176470588235298</v>
      </c>
      <c r="V4" s="2">
        <f t="shared" ref="V4:V24" si="6">J4/$O4</f>
        <v>0</v>
      </c>
      <c r="W4" s="2">
        <f t="shared" ref="W4:W24" si="7">K4/$O4</f>
        <v>0</v>
      </c>
      <c r="X4" s="2">
        <f t="shared" ref="X4:X24" si="8">L4/$O4</f>
        <v>0</v>
      </c>
      <c r="Y4" s="2">
        <f t="shared" ref="Y4:Y24" si="9">M4/$O4</f>
        <v>0</v>
      </c>
      <c r="Z4" s="10">
        <f t="shared" ref="Z4:Z24" si="10">N4/$O4</f>
        <v>0</v>
      </c>
    </row>
    <row r="5" spans="2:27">
      <c r="B5" s="7" t="e">
        <f>VLOOKUP(D5,[1]UV!A:C,3,0)</f>
        <v>#N/A</v>
      </c>
      <c r="C5" s="3" t="e">
        <f>VLOOKUP(D5,[1]UV!A:B,2,0)</f>
        <v>#N/A</v>
      </c>
      <c r="D5" s="12" t="s">
        <v>16</v>
      </c>
      <c r="E5" s="47">
        <v>0</v>
      </c>
      <c r="F5" s="48">
        <v>0</v>
      </c>
      <c r="G5" s="48">
        <v>0</v>
      </c>
      <c r="H5" s="115">
        <v>0.18</v>
      </c>
      <c r="I5" s="116">
        <v>0.13714285642777399</v>
      </c>
      <c r="J5" s="5">
        <v>0</v>
      </c>
      <c r="K5" s="89">
        <v>0</v>
      </c>
      <c r="L5" s="89">
        <v>0</v>
      </c>
      <c r="M5" s="89">
        <v>0</v>
      </c>
      <c r="N5" s="90">
        <v>0</v>
      </c>
      <c r="O5" s="6">
        <f t="shared" si="0"/>
        <v>0.31714285642777396</v>
      </c>
      <c r="P5" s="14" t="s">
        <v>16</v>
      </c>
      <c r="Q5" s="2">
        <f t="shared" si="1"/>
        <v>0</v>
      </c>
      <c r="R5" s="2">
        <f t="shared" si="2"/>
        <v>0</v>
      </c>
      <c r="S5" s="2">
        <f t="shared" si="3"/>
        <v>0</v>
      </c>
      <c r="T5" s="2">
        <f t="shared" si="4"/>
        <v>0.56756756884730009</v>
      </c>
      <c r="U5" s="2">
        <f t="shared" si="5"/>
        <v>0.43243243115270003</v>
      </c>
      <c r="V5" s="2">
        <f t="shared" si="6"/>
        <v>0</v>
      </c>
      <c r="W5" s="2">
        <f t="shared" si="7"/>
        <v>0</v>
      </c>
      <c r="X5" s="2">
        <f t="shared" si="8"/>
        <v>0</v>
      </c>
      <c r="Y5" s="2">
        <f t="shared" si="9"/>
        <v>0</v>
      </c>
      <c r="Z5" s="10">
        <f t="shared" si="10"/>
        <v>0</v>
      </c>
    </row>
    <row r="6" spans="2:27">
      <c r="B6" s="7" t="e">
        <f>VLOOKUP(D6,[1]UV!A:C,3,0)</f>
        <v>#N/A</v>
      </c>
      <c r="C6" s="3" t="e">
        <f>VLOOKUP(D6,[1]UV!A:B,2,0)</f>
        <v>#N/A</v>
      </c>
      <c r="D6" s="12" t="s">
        <v>17</v>
      </c>
      <c r="E6" s="47">
        <v>0</v>
      </c>
      <c r="F6" s="51">
        <v>0.02</v>
      </c>
      <c r="G6" s="48">
        <v>0</v>
      </c>
      <c r="H6" s="112">
        <v>0.156</v>
      </c>
      <c r="I6" s="113">
        <v>0.12053571482890225</v>
      </c>
      <c r="J6" s="114">
        <v>3.26817044643187E-2</v>
      </c>
      <c r="K6" s="48">
        <v>0</v>
      </c>
      <c r="L6" s="89">
        <v>0</v>
      </c>
      <c r="M6" s="48">
        <v>0</v>
      </c>
      <c r="N6" s="90">
        <v>0</v>
      </c>
      <c r="O6" s="6">
        <f t="shared" si="0"/>
        <v>0.3292174192932209</v>
      </c>
      <c r="P6" s="14" t="s">
        <v>17</v>
      </c>
      <c r="Q6" s="2">
        <f t="shared" si="1"/>
        <v>0</v>
      </c>
      <c r="R6" s="2">
        <f t="shared" si="2"/>
        <v>6.0750126900748207E-2</v>
      </c>
      <c r="S6" s="2">
        <f t="shared" si="3"/>
        <v>0</v>
      </c>
      <c r="T6" s="2">
        <f t="shared" si="4"/>
        <v>0.47385098982583601</v>
      </c>
      <c r="U6" s="2">
        <f t="shared" si="5"/>
        <v>0.36612799859641043</v>
      </c>
      <c r="V6" s="2">
        <f t="shared" si="6"/>
        <v>9.9270884677005511E-2</v>
      </c>
      <c r="W6" s="2">
        <f t="shared" si="7"/>
        <v>0</v>
      </c>
      <c r="X6" s="2">
        <f t="shared" si="8"/>
        <v>0</v>
      </c>
      <c r="Y6" s="2">
        <f t="shared" si="9"/>
        <v>0</v>
      </c>
      <c r="Z6" s="10">
        <f t="shared" si="10"/>
        <v>0</v>
      </c>
    </row>
    <row r="7" spans="2:27">
      <c r="B7" s="7" t="e">
        <f>VLOOKUP(D7,[1]UV!A:C,3,0)</f>
        <v>#N/A</v>
      </c>
      <c r="C7" s="3" t="e">
        <f>VLOOKUP(D7,[1]UV!A:B,2,0)</f>
        <v>#N/A</v>
      </c>
      <c r="D7" s="12" t="s">
        <v>18</v>
      </c>
      <c r="E7" s="47">
        <v>0</v>
      </c>
      <c r="F7" s="48">
        <v>0</v>
      </c>
      <c r="G7" s="48">
        <v>0</v>
      </c>
      <c r="H7" s="111">
        <v>9.6774193232049999E-2</v>
      </c>
      <c r="I7" s="48">
        <v>0.03</v>
      </c>
      <c r="J7" s="48">
        <v>0</v>
      </c>
      <c r="K7" s="48">
        <v>0.04</v>
      </c>
      <c r="L7" s="89">
        <v>0.06</v>
      </c>
      <c r="M7" s="48">
        <v>0.04</v>
      </c>
      <c r="N7" s="90">
        <v>0</v>
      </c>
      <c r="O7" s="6">
        <f t="shared" si="0"/>
        <v>0.26677419323204998</v>
      </c>
      <c r="P7" s="14" t="s">
        <v>18</v>
      </c>
      <c r="Q7" s="2">
        <f t="shared" si="1"/>
        <v>0</v>
      </c>
      <c r="R7" s="2">
        <f t="shared" si="2"/>
        <v>0</v>
      </c>
      <c r="S7" s="2">
        <f t="shared" si="3"/>
        <v>0</v>
      </c>
      <c r="T7" s="2">
        <f t="shared" si="4"/>
        <v>0.36275695208596226</v>
      </c>
      <c r="U7" s="2">
        <f t="shared" si="5"/>
        <v>0.11245465551424196</v>
      </c>
      <c r="V7" s="2">
        <f t="shared" si="6"/>
        <v>0</v>
      </c>
      <c r="W7" s="2">
        <f t="shared" si="7"/>
        <v>0.14993954068565596</v>
      </c>
      <c r="X7" s="2">
        <f t="shared" si="8"/>
        <v>0.22490931102848391</v>
      </c>
      <c r="Y7" s="2">
        <f t="shared" si="9"/>
        <v>0.14993954068565596</v>
      </c>
      <c r="Z7" s="10">
        <f t="shared" si="10"/>
        <v>0</v>
      </c>
    </row>
    <row r="8" spans="2:27">
      <c r="B8" s="7" t="e">
        <f>VLOOKUP(D8,[1]UV!A:C,3,0)</f>
        <v>#N/A</v>
      </c>
      <c r="C8" s="3" t="e">
        <f>VLOOKUP(D8,[1]UV!A:B,2,0)</f>
        <v>#N/A</v>
      </c>
      <c r="D8" s="12" t="s">
        <v>19</v>
      </c>
      <c r="E8" s="105">
        <v>0.2</v>
      </c>
      <c r="F8" s="108">
        <v>0.182</v>
      </c>
      <c r="G8" s="48">
        <v>0</v>
      </c>
      <c r="H8" s="66">
        <v>0.08</v>
      </c>
      <c r="I8" s="106">
        <v>7.0000000000000007E-2</v>
      </c>
      <c r="J8" s="109">
        <v>7.0000000000000007E-2</v>
      </c>
      <c r="K8" s="107">
        <v>0</v>
      </c>
      <c r="L8" s="48">
        <v>0</v>
      </c>
      <c r="M8" s="48">
        <v>0</v>
      </c>
      <c r="N8" s="110">
        <v>0.1</v>
      </c>
      <c r="O8" s="6">
        <f t="shared" si="0"/>
        <v>0.70200000000000007</v>
      </c>
      <c r="P8" s="14" t="s">
        <v>19</v>
      </c>
      <c r="Q8" s="2">
        <f t="shared" si="1"/>
        <v>0.28490028490028491</v>
      </c>
      <c r="R8" s="2">
        <f t="shared" si="2"/>
        <v>0.25925925925925924</v>
      </c>
      <c r="S8" s="2">
        <f t="shared" si="3"/>
        <v>0</v>
      </c>
      <c r="T8" s="2">
        <f t="shared" si="4"/>
        <v>0.11396011396011395</v>
      </c>
      <c r="U8" s="2">
        <f t="shared" si="5"/>
        <v>9.9715099715099717E-2</v>
      </c>
      <c r="V8" s="2">
        <f t="shared" si="6"/>
        <v>9.9715099715099717E-2</v>
      </c>
      <c r="W8" s="2">
        <f t="shared" si="7"/>
        <v>0</v>
      </c>
      <c r="X8" s="2">
        <f t="shared" si="8"/>
        <v>0</v>
      </c>
      <c r="Y8" s="2">
        <f t="shared" si="9"/>
        <v>0</v>
      </c>
      <c r="Z8" s="10">
        <f t="shared" si="10"/>
        <v>0.14245014245014245</v>
      </c>
    </row>
    <row r="9" spans="2:27">
      <c r="B9" s="7" t="e">
        <f>VLOOKUP(D9,[1]UV!A:C,3,0)</f>
        <v>#N/A</v>
      </c>
      <c r="C9" s="3" t="e">
        <f>VLOOKUP(D9,[1]UV!A:B,2,0)</f>
        <v>#N/A</v>
      </c>
      <c r="D9" s="12" t="s">
        <v>20</v>
      </c>
      <c r="E9" s="63">
        <v>0.1</v>
      </c>
      <c r="F9" s="69">
        <v>0.12</v>
      </c>
      <c r="G9" s="48">
        <v>0</v>
      </c>
      <c r="H9" s="66">
        <v>0.08</v>
      </c>
      <c r="I9" s="64">
        <v>0.14732142855080119</v>
      </c>
      <c r="J9" s="70">
        <v>8.5213031919535706E-2</v>
      </c>
      <c r="K9" s="68">
        <v>0.28000000000000003</v>
      </c>
      <c r="L9" s="67">
        <v>0.2</v>
      </c>
      <c r="M9" s="65">
        <v>0.155</v>
      </c>
      <c r="N9" s="71">
        <v>7.9268292529000597E-2</v>
      </c>
      <c r="O9" s="6">
        <f t="shared" si="0"/>
        <v>1.2468027529993375</v>
      </c>
      <c r="P9" s="14" t="s">
        <v>20</v>
      </c>
      <c r="Q9" s="2">
        <f t="shared" si="1"/>
        <v>8.0205148536476756E-2</v>
      </c>
      <c r="R9" s="2">
        <f t="shared" si="2"/>
        <v>9.6246178243772101E-2</v>
      </c>
      <c r="S9" s="2">
        <f t="shared" si="3"/>
        <v>0</v>
      </c>
      <c r="T9" s="2">
        <f t="shared" si="4"/>
        <v>6.4164118829181396E-2</v>
      </c>
      <c r="U9" s="2">
        <f t="shared" si="5"/>
        <v>0.11815937059522956</v>
      </c>
      <c r="V9" s="2">
        <f t="shared" si="6"/>
        <v>6.8345238823498966E-2</v>
      </c>
      <c r="W9" s="2">
        <f t="shared" si="7"/>
        <v>0.22457441590213492</v>
      </c>
      <c r="X9" s="2">
        <f t="shared" si="8"/>
        <v>0.16041029707295351</v>
      </c>
      <c r="Y9" s="2">
        <f t="shared" si="9"/>
        <v>0.12431798023153896</v>
      </c>
      <c r="Z9" s="10">
        <f t="shared" si="10"/>
        <v>6.3577251765213838E-2</v>
      </c>
    </row>
    <row r="10" spans="2:27">
      <c r="B10" s="7" t="e">
        <f>VLOOKUP(D10,[1]UV!A:C,3,0)</f>
        <v>#N/A</v>
      </c>
      <c r="C10" s="3" t="e">
        <f>VLOOKUP(D10,[1]UV!A:B,2,0)</f>
        <v>#N/A</v>
      </c>
      <c r="D10" s="12" t="s">
        <v>21</v>
      </c>
      <c r="E10" s="60">
        <v>0.05</v>
      </c>
      <c r="F10" s="48">
        <v>0</v>
      </c>
      <c r="G10" s="48">
        <v>0</v>
      </c>
      <c r="H10" s="45">
        <v>0</v>
      </c>
      <c r="I10" s="48">
        <v>0</v>
      </c>
      <c r="J10" s="61">
        <v>0.06</v>
      </c>
      <c r="K10" s="48">
        <v>0</v>
      </c>
      <c r="L10" s="51">
        <v>7.0000000000000007E-2</v>
      </c>
      <c r="M10" s="55">
        <v>0.04</v>
      </c>
      <c r="N10" s="62">
        <v>8.5365853384889903E-2</v>
      </c>
      <c r="O10" s="6">
        <f t="shared" si="0"/>
        <v>0.30536585338488992</v>
      </c>
      <c r="P10" s="14" t="s">
        <v>21</v>
      </c>
      <c r="Q10" s="2">
        <f t="shared" si="1"/>
        <v>0.16373801931605919</v>
      </c>
      <c r="R10" s="2">
        <f t="shared" si="2"/>
        <v>0</v>
      </c>
      <c r="S10" s="2">
        <f t="shared" si="3"/>
        <v>0</v>
      </c>
      <c r="T10" s="2">
        <f t="shared" si="4"/>
        <v>0</v>
      </c>
      <c r="U10" s="2">
        <f t="shared" si="5"/>
        <v>0</v>
      </c>
      <c r="V10" s="2">
        <f t="shared" si="6"/>
        <v>0.19648562317927101</v>
      </c>
      <c r="W10" s="2">
        <f t="shared" si="7"/>
        <v>0</v>
      </c>
      <c r="X10" s="2">
        <f t="shared" si="8"/>
        <v>0.22923322704248286</v>
      </c>
      <c r="Y10" s="2">
        <f t="shared" si="9"/>
        <v>0.13099041545284734</v>
      </c>
      <c r="Z10" s="10">
        <f t="shared" si="10"/>
        <v>0.27955271500933959</v>
      </c>
    </row>
    <row r="11" spans="2:27">
      <c r="B11" s="7" t="e">
        <f>VLOOKUP(D11,[1]UV!A:C,3,0)</f>
        <v>#N/A</v>
      </c>
      <c r="C11" s="3" t="e">
        <f>VLOOKUP(D11,[1]UV!A:B,2,0)</f>
        <v>#N/A</v>
      </c>
      <c r="D11" s="12" t="s">
        <v>22</v>
      </c>
      <c r="E11" s="58">
        <v>0.13</v>
      </c>
      <c r="F11" s="51">
        <v>0.05</v>
      </c>
      <c r="G11" s="54">
        <v>0.22627737205988599</v>
      </c>
      <c r="H11" s="45">
        <v>0</v>
      </c>
      <c r="I11" s="59">
        <v>7.5892856572165976E-2</v>
      </c>
      <c r="J11" s="56">
        <v>0.128</v>
      </c>
      <c r="K11" s="55">
        <v>0.08</v>
      </c>
      <c r="L11" s="53">
        <v>0.13</v>
      </c>
      <c r="M11" s="55">
        <v>7.9831933010204095E-2</v>
      </c>
      <c r="N11" s="57">
        <v>9.1463414240779306E-2</v>
      </c>
      <c r="O11" s="6">
        <f t="shared" si="0"/>
        <v>0.99146557588303541</v>
      </c>
      <c r="P11" s="14" t="s">
        <v>22</v>
      </c>
      <c r="Q11" s="2">
        <f t="shared" si="1"/>
        <v>0.13111902537233053</v>
      </c>
      <c r="R11" s="2">
        <f t="shared" si="2"/>
        <v>5.0430394373973272E-2</v>
      </c>
      <c r="S11" s="2">
        <f t="shared" si="3"/>
        <v>0.22822514221772663</v>
      </c>
      <c r="T11" s="2">
        <f t="shared" si="4"/>
        <v>0</v>
      </c>
      <c r="U11" s="2">
        <f t="shared" si="5"/>
        <v>7.6546133742034395E-2</v>
      </c>
      <c r="V11" s="2">
        <f t="shared" si="6"/>
        <v>0.12910180959737158</v>
      </c>
      <c r="W11" s="2">
        <f t="shared" si="7"/>
        <v>8.0688630998357241E-2</v>
      </c>
      <c r="X11" s="2">
        <f t="shared" si="8"/>
        <v>0.13111902537233053</v>
      </c>
      <c r="Y11" s="2">
        <f t="shared" si="9"/>
        <v>8.0519117306824151E-2</v>
      </c>
      <c r="Z11" s="10">
        <f t="shared" si="10"/>
        <v>9.2250721019051671E-2</v>
      </c>
    </row>
    <row r="12" spans="2:27">
      <c r="B12" s="7" t="e">
        <f>VLOOKUP(D12,[1]UV!A:C,3,0)</f>
        <v>#N/A</v>
      </c>
      <c r="C12" s="3" t="e">
        <f>VLOOKUP(D12,[1]UV!A:B,2,0)</f>
        <v>#N/A</v>
      </c>
      <c r="D12" s="12" t="s">
        <v>23</v>
      </c>
      <c r="E12" s="47">
        <v>0</v>
      </c>
      <c r="F12" s="50">
        <v>0.08</v>
      </c>
      <c r="G12" s="43">
        <v>9.8540146217273195E-2</v>
      </c>
      <c r="H12" s="45">
        <v>0</v>
      </c>
      <c r="I12" s="48">
        <v>0</v>
      </c>
      <c r="J12" s="51">
        <v>0.05</v>
      </c>
      <c r="K12" s="44">
        <v>0.16</v>
      </c>
      <c r="L12" s="46">
        <v>0.1</v>
      </c>
      <c r="M12" s="49">
        <v>0.153</v>
      </c>
      <c r="N12" s="52">
        <v>0.04</v>
      </c>
      <c r="O12" s="6">
        <f t="shared" si="0"/>
        <v>0.68154014621727321</v>
      </c>
      <c r="P12" s="14" t="s">
        <v>23</v>
      </c>
      <c r="Q12" s="2">
        <f t="shared" si="1"/>
        <v>0</v>
      </c>
      <c r="R12" s="2">
        <f t="shared" si="2"/>
        <v>0.11738119969017381</v>
      </c>
      <c r="S12" s="2">
        <f t="shared" si="3"/>
        <v>0.14458450725785837</v>
      </c>
      <c r="T12" s="2">
        <f t="shared" si="4"/>
        <v>0</v>
      </c>
      <c r="U12" s="2">
        <f t="shared" si="5"/>
        <v>0</v>
      </c>
      <c r="V12" s="2">
        <f t="shared" si="6"/>
        <v>7.3363249806358638E-2</v>
      </c>
      <c r="W12" s="2">
        <f t="shared" si="7"/>
        <v>0.23476239938034762</v>
      </c>
      <c r="X12" s="2">
        <f t="shared" si="8"/>
        <v>0.14672649961271728</v>
      </c>
      <c r="Y12" s="2">
        <f t="shared" si="9"/>
        <v>0.22449154440745739</v>
      </c>
      <c r="Z12" s="10">
        <f t="shared" si="10"/>
        <v>5.8690599845086906E-2</v>
      </c>
    </row>
    <row r="13" spans="2:27">
      <c r="B13" s="7" t="e">
        <f>VLOOKUP(D13,[1]UV!A:C,3,0)</f>
        <v>#N/A</v>
      </c>
      <c r="C13" s="3" t="e">
        <f>VLOOKUP(D13,[1]UV!A:B,2,0)</f>
        <v>#N/A</v>
      </c>
      <c r="D13" s="12" t="s">
        <v>24</v>
      </c>
      <c r="E13" s="47">
        <v>0</v>
      </c>
      <c r="F13" s="48">
        <v>0</v>
      </c>
      <c r="G13" s="48">
        <v>0</v>
      </c>
      <c r="H13" s="92">
        <v>0.05</v>
      </c>
      <c r="I13" s="51">
        <v>0.04</v>
      </c>
      <c r="J13" s="48">
        <v>0</v>
      </c>
      <c r="K13" s="48">
        <v>0</v>
      </c>
      <c r="L13" s="48">
        <v>0</v>
      </c>
      <c r="M13" s="48">
        <v>0</v>
      </c>
      <c r="N13" s="90">
        <v>0</v>
      </c>
      <c r="O13" s="6">
        <f t="shared" si="0"/>
        <v>0.09</v>
      </c>
      <c r="P13" s="14" t="s">
        <v>24</v>
      </c>
      <c r="Q13" s="2">
        <f t="shared" si="1"/>
        <v>0</v>
      </c>
      <c r="R13" s="2">
        <f t="shared" si="2"/>
        <v>0</v>
      </c>
      <c r="S13" s="2">
        <f t="shared" si="3"/>
        <v>0</v>
      </c>
      <c r="T13" s="2">
        <f t="shared" si="4"/>
        <v>0.55555555555555558</v>
      </c>
      <c r="U13" s="2">
        <f t="shared" si="5"/>
        <v>0.44444444444444448</v>
      </c>
      <c r="V13" s="2">
        <f t="shared" si="6"/>
        <v>0</v>
      </c>
      <c r="W13" s="2">
        <f t="shared" si="7"/>
        <v>0</v>
      </c>
      <c r="X13" s="2">
        <f t="shared" si="8"/>
        <v>0</v>
      </c>
      <c r="Y13" s="2">
        <f t="shared" si="9"/>
        <v>0</v>
      </c>
      <c r="Z13" s="10">
        <f t="shared" si="10"/>
        <v>0</v>
      </c>
    </row>
    <row r="14" spans="2:27">
      <c r="B14" s="88" t="e">
        <f>VLOOKUP(D14,[1]UV!A:C,3,0)</f>
        <v>#N/A</v>
      </c>
      <c r="C14" s="91" t="e">
        <f>VLOOKUP(D14,[1]UV!A:B,2,0)</f>
        <v>#N/A</v>
      </c>
      <c r="D14" s="12" t="s">
        <v>25</v>
      </c>
      <c r="E14" s="47">
        <v>0</v>
      </c>
      <c r="F14" s="89">
        <v>0</v>
      </c>
      <c r="G14" s="89">
        <v>0</v>
      </c>
      <c r="H14" s="45">
        <v>0</v>
      </c>
      <c r="I14" s="48">
        <v>0.01</v>
      </c>
      <c r="J14" s="48">
        <v>0</v>
      </c>
      <c r="K14" s="48">
        <v>0</v>
      </c>
      <c r="L14" s="48">
        <v>0</v>
      </c>
      <c r="M14" s="48">
        <v>0</v>
      </c>
      <c r="N14" s="90">
        <v>0.02</v>
      </c>
      <c r="O14" s="6">
        <f t="shared" si="0"/>
        <v>0.03</v>
      </c>
      <c r="P14" s="14" t="s">
        <v>25</v>
      </c>
      <c r="Q14" s="2">
        <f t="shared" si="1"/>
        <v>0</v>
      </c>
      <c r="R14" s="2">
        <f t="shared" si="2"/>
        <v>0</v>
      </c>
      <c r="S14" s="2">
        <f t="shared" si="3"/>
        <v>0</v>
      </c>
      <c r="T14" s="2">
        <f t="shared" si="4"/>
        <v>0</v>
      </c>
      <c r="U14" s="2">
        <f t="shared" si="5"/>
        <v>0.33333333333333337</v>
      </c>
      <c r="V14" s="2">
        <f t="shared" si="6"/>
        <v>0</v>
      </c>
      <c r="W14" s="2">
        <f t="shared" si="7"/>
        <v>0</v>
      </c>
      <c r="X14" s="2">
        <f t="shared" si="8"/>
        <v>0</v>
      </c>
      <c r="Y14" s="2">
        <f t="shared" si="9"/>
        <v>0</v>
      </c>
      <c r="Z14" s="10">
        <f t="shared" si="10"/>
        <v>0.66666666666666674</v>
      </c>
    </row>
    <row r="15" spans="2:27">
      <c r="B15" s="7" t="e">
        <f>VLOOKUP(D15,[1]UV!A:C,3,0)</f>
        <v>#N/A</v>
      </c>
      <c r="C15" s="3" t="e">
        <f>VLOOKUP(D15,[1]UV!A:B,2,0)</f>
        <v>#N/A</v>
      </c>
      <c r="D15" s="85" t="s">
        <v>26</v>
      </c>
      <c r="E15" s="78">
        <v>0</v>
      </c>
      <c r="F15" s="81">
        <v>0</v>
      </c>
      <c r="G15" s="84">
        <v>0</v>
      </c>
      <c r="H15" s="86">
        <v>0</v>
      </c>
      <c r="I15" s="82">
        <v>0.05</v>
      </c>
      <c r="J15" s="84">
        <v>0</v>
      </c>
      <c r="K15" s="87">
        <v>0.13200000000000001</v>
      </c>
      <c r="L15" s="79">
        <v>0.24</v>
      </c>
      <c r="M15" s="83">
        <v>0.1</v>
      </c>
      <c r="N15" s="84">
        <v>0</v>
      </c>
      <c r="O15" s="6">
        <f t="shared" si="0"/>
        <v>0.52200000000000002</v>
      </c>
      <c r="P15" s="80" t="s">
        <v>26</v>
      </c>
      <c r="Q15" s="2">
        <f t="shared" si="1"/>
        <v>0</v>
      </c>
      <c r="R15" s="2">
        <f t="shared" si="2"/>
        <v>0</v>
      </c>
      <c r="S15" s="2">
        <f t="shared" si="3"/>
        <v>0</v>
      </c>
      <c r="T15" s="2">
        <f t="shared" si="4"/>
        <v>0</v>
      </c>
      <c r="U15" s="2">
        <f t="shared" si="5"/>
        <v>9.5785440613026823E-2</v>
      </c>
      <c r="V15" s="2">
        <f t="shared" si="6"/>
        <v>0</v>
      </c>
      <c r="W15" s="2">
        <f t="shared" si="7"/>
        <v>0.25287356321839083</v>
      </c>
      <c r="X15" s="2">
        <f t="shared" si="8"/>
        <v>0.45977011494252867</v>
      </c>
      <c r="Y15" s="2">
        <f t="shared" si="9"/>
        <v>0.19157088122605365</v>
      </c>
      <c r="Z15" s="10">
        <f t="shared" si="10"/>
        <v>0</v>
      </c>
    </row>
    <row r="16" spans="2:27">
      <c r="B16" s="7" t="e">
        <f>VLOOKUP(D16,[1]UV!A:C,3,0)</f>
        <v>#N/A</v>
      </c>
      <c r="C16" s="3" t="e">
        <f>VLOOKUP(D16,[1]UV!A:B,2,0)</f>
        <v>#N/A</v>
      </c>
      <c r="D16" s="77" t="s">
        <v>27</v>
      </c>
      <c r="E16" s="75">
        <v>0.08</v>
      </c>
      <c r="F16" s="39">
        <v>8.8235293382929639E-2</v>
      </c>
      <c r="G16" s="72">
        <v>0.21532846670403299</v>
      </c>
      <c r="H16" s="4">
        <v>0</v>
      </c>
      <c r="I16" s="11">
        <v>0</v>
      </c>
      <c r="J16" s="73">
        <v>9.0225564062524702E-2</v>
      </c>
      <c r="K16" s="5">
        <v>0</v>
      </c>
      <c r="L16" s="8">
        <v>0</v>
      </c>
      <c r="M16" s="5">
        <v>0</v>
      </c>
      <c r="N16" s="74">
        <v>0.13</v>
      </c>
      <c r="O16" s="6">
        <f t="shared" si="0"/>
        <v>0.60378932414948738</v>
      </c>
      <c r="P16" s="76" t="s">
        <v>27</v>
      </c>
      <c r="Q16" s="2">
        <f t="shared" si="1"/>
        <v>0.13249654606379466</v>
      </c>
      <c r="R16" s="2">
        <f t="shared" si="2"/>
        <v>0.14613589517704717</v>
      </c>
      <c r="S16" s="2">
        <f t="shared" si="3"/>
        <v>0.35662847634371475</v>
      </c>
      <c r="T16" s="2">
        <f t="shared" si="4"/>
        <v>0</v>
      </c>
      <c r="U16" s="2">
        <f t="shared" si="5"/>
        <v>0</v>
      </c>
      <c r="V16" s="2">
        <f t="shared" si="6"/>
        <v>0.14943219506177699</v>
      </c>
      <c r="W16" s="2">
        <f t="shared" si="7"/>
        <v>0</v>
      </c>
      <c r="X16" s="2">
        <f t="shared" si="8"/>
        <v>0</v>
      </c>
      <c r="Y16" s="2">
        <f t="shared" si="9"/>
        <v>0</v>
      </c>
      <c r="Z16" s="10">
        <f t="shared" si="10"/>
        <v>0.21530688735366632</v>
      </c>
    </row>
    <row r="17" spans="2:27">
      <c r="B17" s="7" t="e">
        <f>VLOOKUP(D17,[1]UV!A:C,3,0)</f>
        <v>#N/A</v>
      </c>
      <c r="C17" s="3" t="e">
        <f>VLOOKUP(D17,[1]UV!A:B,2,0)</f>
        <v>#N/A</v>
      </c>
      <c r="D17" s="12" t="s">
        <v>28</v>
      </c>
      <c r="E17" s="25">
        <v>0.05</v>
      </c>
      <c r="F17" s="28">
        <v>0.15</v>
      </c>
      <c r="G17" s="8">
        <v>0</v>
      </c>
      <c r="H17" s="23">
        <v>0.10752688245855013</v>
      </c>
      <c r="I17" s="26">
        <v>0.12946428555614237</v>
      </c>
      <c r="J17" s="29">
        <v>0.14399999999999999</v>
      </c>
      <c r="K17" s="22">
        <v>0.20799999999999999</v>
      </c>
      <c r="L17" s="24">
        <v>0.15</v>
      </c>
      <c r="M17" s="27">
        <v>0.26050420096938798</v>
      </c>
      <c r="N17" s="8">
        <v>0</v>
      </c>
      <c r="O17" s="6">
        <f t="shared" si="0"/>
        <v>1.1994953689840804</v>
      </c>
      <c r="P17" s="14" t="s">
        <v>28</v>
      </c>
      <c r="Q17" s="2">
        <f t="shared" si="1"/>
        <v>4.1684195948457722E-2</v>
      </c>
      <c r="R17" s="2">
        <f t="shared" si="2"/>
        <v>0.12505258784537315</v>
      </c>
      <c r="S17" s="2">
        <f t="shared" si="3"/>
        <v>0</v>
      </c>
      <c r="T17" s="2">
        <f t="shared" si="4"/>
        <v>8.9643432762579703E-2</v>
      </c>
      <c r="U17" s="2">
        <f t="shared" si="5"/>
        <v>0.10793229294898646</v>
      </c>
      <c r="V17" s="2">
        <f t="shared" si="6"/>
        <v>0.12005048433155822</v>
      </c>
      <c r="W17" s="2">
        <f t="shared" si="7"/>
        <v>0.17340625514558411</v>
      </c>
      <c r="X17" s="2">
        <f t="shared" si="8"/>
        <v>0.12505258784537315</v>
      </c>
      <c r="Y17" s="2">
        <f t="shared" si="9"/>
        <v>0.21717816317208755</v>
      </c>
      <c r="Z17" s="10">
        <f t="shared" si="10"/>
        <v>0</v>
      </c>
    </row>
    <row r="18" spans="2:27">
      <c r="B18" s="7" t="e">
        <f>VLOOKUP(D18,[1]UV!A:C,3,0)</f>
        <v>#N/A</v>
      </c>
      <c r="C18" s="3" t="e">
        <f>VLOOKUP(D18,[1]UV!A:B,2,0)</f>
        <v>#N/A</v>
      </c>
      <c r="D18" s="12" t="s">
        <v>29</v>
      </c>
      <c r="E18" s="16">
        <v>0</v>
      </c>
      <c r="F18" s="21">
        <v>0.12</v>
      </c>
      <c r="G18" s="8">
        <v>0</v>
      </c>
      <c r="H18" s="19">
        <v>0.05</v>
      </c>
      <c r="I18" s="11">
        <v>0</v>
      </c>
      <c r="J18" s="8">
        <v>0</v>
      </c>
      <c r="K18" s="5">
        <v>0</v>
      </c>
      <c r="L18" s="8">
        <v>0</v>
      </c>
      <c r="M18" s="20">
        <v>8.3000000000000004E-2</v>
      </c>
      <c r="N18" s="8">
        <v>0</v>
      </c>
      <c r="O18" s="6">
        <f t="shared" si="0"/>
        <v>0.253</v>
      </c>
      <c r="P18" s="14" t="s">
        <v>29</v>
      </c>
      <c r="Q18" s="2">
        <f t="shared" si="1"/>
        <v>0</v>
      </c>
      <c r="R18" s="2">
        <f t="shared" si="2"/>
        <v>0.4743083003952569</v>
      </c>
      <c r="S18" s="2">
        <f t="shared" si="3"/>
        <v>0</v>
      </c>
      <c r="T18" s="2">
        <f t="shared" si="4"/>
        <v>0.19762845849802371</v>
      </c>
      <c r="U18" s="2">
        <f t="shared" si="5"/>
        <v>0</v>
      </c>
      <c r="V18" s="2">
        <f t="shared" si="6"/>
        <v>0</v>
      </c>
      <c r="W18" s="2">
        <f t="shared" si="7"/>
        <v>0</v>
      </c>
      <c r="X18" s="2">
        <f t="shared" si="8"/>
        <v>0</v>
      </c>
      <c r="Y18" s="2">
        <f t="shared" si="9"/>
        <v>0.32806324110671936</v>
      </c>
      <c r="Z18" s="10">
        <f t="shared" si="10"/>
        <v>0</v>
      </c>
    </row>
    <row r="19" spans="2:27">
      <c r="B19" s="7" t="e">
        <f>VLOOKUP(D19,[1]UV!A:C,3,0)</f>
        <v>#N/A</v>
      </c>
      <c r="C19" s="3" t="e">
        <f>VLOOKUP(D19,[1]UV!A:B,2,0)</f>
        <v>#N/A</v>
      </c>
      <c r="D19" s="12" t="s">
        <v>30</v>
      </c>
      <c r="E19" s="16">
        <v>0</v>
      </c>
      <c r="F19" s="5">
        <v>0.03</v>
      </c>
      <c r="G19" s="8">
        <v>0</v>
      </c>
      <c r="H19" s="18">
        <v>0.1</v>
      </c>
      <c r="I19" s="15">
        <v>0.05</v>
      </c>
      <c r="J19" s="8">
        <v>0</v>
      </c>
      <c r="K19" s="5">
        <v>0</v>
      </c>
      <c r="L19" s="8">
        <v>0.05</v>
      </c>
      <c r="M19" s="5">
        <v>0</v>
      </c>
      <c r="N19" s="17">
        <v>8.3170731673111301E-2</v>
      </c>
      <c r="O19" s="6">
        <f t="shared" si="0"/>
        <v>0.31317073167311127</v>
      </c>
      <c r="P19" s="14" t="s">
        <v>30</v>
      </c>
      <c r="Q19" s="2">
        <f t="shared" si="1"/>
        <v>0</v>
      </c>
      <c r="R19" s="2">
        <f t="shared" si="2"/>
        <v>9.5794392533827544E-2</v>
      </c>
      <c r="S19" s="2">
        <f t="shared" si="3"/>
        <v>0</v>
      </c>
      <c r="T19" s="2">
        <f t="shared" si="4"/>
        <v>0.31931464177942515</v>
      </c>
      <c r="U19" s="2">
        <f t="shared" si="5"/>
        <v>0.15965732088971257</v>
      </c>
      <c r="V19" s="2">
        <f t="shared" si="6"/>
        <v>0</v>
      </c>
      <c r="W19" s="2">
        <f t="shared" si="7"/>
        <v>0</v>
      </c>
      <c r="X19" s="2">
        <f t="shared" si="8"/>
        <v>0.15965732088971257</v>
      </c>
      <c r="Y19" s="2">
        <f t="shared" si="9"/>
        <v>0</v>
      </c>
      <c r="Z19" s="10">
        <f t="shared" si="10"/>
        <v>0.26557632390732222</v>
      </c>
    </row>
    <row r="20" spans="2:27">
      <c r="B20" s="7" t="e">
        <f>VLOOKUP(D20,[1]UV!A:C,3,0)</f>
        <v>#N/A</v>
      </c>
      <c r="C20" s="3" t="e">
        <f>VLOOKUP(D20,[1]UV!A:B,2,0)</f>
        <v>#N/A</v>
      </c>
      <c r="D20" s="12" t="s">
        <v>31</v>
      </c>
      <c r="E20" s="13">
        <v>0.14000000000000001</v>
      </c>
      <c r="F20" s="5">
        <v>0.08</v>
      </c>
      <c r="G20" s="8">
        <v>0</v>
      </c>
      <c r="H20" s="4">
        <v>0</v>
      </c>
      <c r="I20" s="11">
        <v>0</v>
      </c>
      <c r="J20" s="9">
        <v>0.11</v>
      </c>
      <c r="K20" s="5">
        <v>0</v>
      </c>
      <c r="L20" s="8">
        <v>0</v>
      </c>
      <c r="M20" s="5">
        <v>0</v>
      </c>
      <c r="N20" s="8">
        <v>0.05</v>
      </c>
      <c r="O20" s="6">
        <f t="shared" si="0"/>
        <v>0.38</v>
      </c>
      <c r="P20" s="14" t="s">
        <v>31</v>
      </c>
      <c r="Q20" s="2">
        <f t="shared" si="1"/>
        <v>0.36842105263157898</v>
      </c>
      <c r="R20" s="2">
        <f t="shared" si="2"/>
        <v>0.21052631578947367</v>
      </c>
      <c r="S20" s="2">
        <f t="shared" si="3"/>
        <v>0</v>
      </c>
      <c r="T20" s="2">
        <f t="shared" si="4"/>
        <v>0</v>
      </c>
      <c r="U20" s="2">
        <f t="shared" si="5"/>
        <v>0</v>
      </c>
      <c r="V20" s="2">
        <f t="shared" si="6"/>
        <v>0.28947368421052633</v>
      </c>
      <c r="W20" s="2">
        <f t="shared" si="7"/>
        <v>0</v>
      </c>
      <c r="X20" s="2">
        <f t="shared" si="8"/>
        <v>0</v>
      </c>
      <c r="Y20" s="2">
        <f t="shared" si="9"/>
        <v>0</v>
      </c>
      <c r="Z20" s="10">
        <f t="shared" si="10"/>
        <v>0.13157894736842105</v>
      </c>
    </row>
    <row r="21" spans="2:27">
      <c r="B21" s="7" t="e">
        <f>VLOOKUP(D21,[1]UV!A:C,3,0)</f>
        <v>#N/A</v>
      </c>
      <c r="C21" s="3" t="e">
        <f>VLOOKUP(D21,[1]UV!A:B,2,0)</f>
        <v>#N/A</v>
      </c>
      <c r="D21" s="12" t="s">
        <v>32</v>
      </c>
      <c r="E21" s="42">
        <v>0.1</v>
      </c>
      <c r="F21" s="5">
        <v>0</v>
      </c>
      <c r="G21" s="34">
        <v>0.1</v>
      </c>
      <c r="H21" s="4">
        <v>0</v>
      </c>
      <c r="I21" s="11">
        <v>0</v>
      </c>
      <c r="J21" s="40">
        <v>0.14000000000000001</v>
      </c>
      <c r="K21" s="5">
        <v>0</v>
      </c>
      <c r="L21" s="8">
        <v>0</v>
      </c>
      <c r="M21" s="5">
        <v>0</v>
      </c>
      <c r="N21" s="41">
        <v>0.152439024202112</v>
      </c>
      <c r="O21" s="6">
        <f t="shared" si="0"/>
        <v>0.49243902420211205</v>
      </c>
      <c r="P21" s="14" t="s">
        <v>32</v>
      </c>
      <c r="Q21" s="2">
        <f t="shared" si="1"/>
        <v>0.20307082721973096</v>
      </c>
      <c r="R21" s="2">
        <f t="shared" si="2"/>
        <v>0</v>
      </c>
      <c r="S21" s="2">
        <f t="shared" si="3"/>
        <v>0.20307082721973096</v>
      </c>
      <c r="T21" s="2">
        <f t="shared" si="4"/>
        <v>0</v>
      </c>
      <c r="U21" s="2">
        <f t="shared" si="5"/>
        <v>0</v>
      </c>
      <c r="V21" s="2">
        <f t="shared" si="6"/>
        <v>0.28429915810762335</v>
      </c>
      <c r="W21" s="2">
        <f t="shared" si="7"/>
        <v>0</v>
      </c>
      <c r="X21" s="2">
        <f t="shared" si="8"/>
        <v>0</v>
      </c>
      <c r="Y21" s="2">
        <f t="shared" si="9"/>
        <v>0</v>
      </c>
      <c r="Z21" s="10">
        <f t="shared" si="10"/>
        <v>0.30955918745291472</v>
      </c>
    </row>
    <row r="22" spans="2:27">
      <c r="B22" s="7" t="e">
        <f>VLOOKUP(D22,[1]UV!A:C,3,0)</f>
        <v>#N/A</v>
      </c>
      <c r="C22" s="3" t="e">
        <f>VLOOKUP(D22,[1]UV!A:B,2,0)</f>
        <v>#N/A</v>
      </c>
      <c r="D22" s="12" t="s">
        <v>33</v>
      </c>
      <c r="E22" s="16">
        <v>0</v>
      </c>
      <c r="F22" s="5">
        <v>0</v>
      </c>
      <c r="G22" s="8">
        <v>0</v>
      </c>
      <c r="H22" s="4">
        <v>0</v>
      </c>
      <c r="I22" s="38">
        <v>7.0000000000000007E-2</v>
      </c>
      <c r="J22" s="8">
        <v>0</v>
      </c>
      <c r="K22" s="5">
        <v>0</v>
      </c>
      <c r="L22" s="8">
        <v>0</v>
      </c>
      <c r="M22" s="39">
        <v>8.8235294117647106E-2</v>
      </c>
      <c r="N22" s="8">
        <v>0</v>
      </c>
      <c r="O22" s="6">
        <f t="shared" si="0"/>
        <v>0.15823529411764711</v>
      </c>
      <c r="P22" s="14" t="s">
        <v>33</v>
      </c>
      <c r="Q22" s="2">
        <f t="shared" si="1"/>
        <v>0</v>
      </c>
      <c r="R22" s="2">
        <f t="shared" si="2"/>
        <v>0</v>
      </c>
      <c r="S22" s="2">
        <f t="shared" si="3"/>
        <v>0</v>
      </c>
      <c r="T22" s="2">
        <f t="shared" si="4"/>
        <v>0</v>
      </c>
      <c r="U22" s="2">
        <f t="shared" si="5"/>
        <v>0.4423791821561337</v>
      </c>
      <c r="V22" s="2">
        <f t="shared" si="6"/>
        <v>0</v>
      </c>
      <c r="W22" s="2">
        <f t="shared" si="7"/>
        <v>0</v>
      </c>
      <c r="X22" s="2">
        <f t="shared" si="8"/>
        <v>0</v>
      </c>
      <c r="Y22" s="2">
        <f t="shared" si="9"/>
        <v>0.5576208178438663</v>
      </c>
      <c r="Z22" s="10">
        <f t="shared" si="10"/>
        <v>0</v>
      </c>
    </row>
    <row r="23" spans="2:27">
      <c r="B23" s="7" t="e">
        <f>VLOOKUP(D23,[1]UV!A:C,3,0)</f>
        <v>#N/A</v>
      </c>
      <c r="C23" s="3" t="e">
        <f>VLOOKUP(D23,[1]UV!A:B,2,0)</f>
        <v>#N/A</v>
      </c>
      <c r="D23" s="12" t="s">
        <v>34</v>
      </c>
      <c r="E23" s="16">
        <v>0</v>
      </c>
      <c r="F23" s="5">
        <v>0</v>
      </c>
      <c r="G23" s="8">
        <v>0</v>
      </c>
      <c r="H23" s="4">
        <v>0</v>
      </c>
      <c r="I23" s="11">
        <v>0</v>
      </c>
      <c r="J23" s="8">
        <v>0</v>
      </c>
      <c r="K23" s="5">
        <v>0</v>
      </c>
      <c r="L23" s="8">
        <v>0</v>
      </c>
      <c r="M23" s="5">
        <v>0</v>
      </c>
      <c r="N23" s="37">
        <v>0.108</v>
      </c>
      <c r="O23" s="6">
        <f t="shared" si="0"/>
        <v>0.108</v>
      </c>
      <c r="P23" s="14" t="s">
        <v>34</v>
      </c>
      <c r="Q23" s="2">
        <f t="shared" si="1"/>
        <v>0</v>
      </c>
      <c r="R23" s="2">
        <f t="shared" si="2"/>
        <v>0</v>
      </c>
      <c r="S23" s="2">
        <f t="shared" si="3"/>
        <v>0</v>
      </c>
      <c r="T23" s="2">
        <f t="shared" si="4"/>
        <v>0</v>
      </c>
      <c r="U23" s="2">
        <f t="shared" si="5"/>
        <v>0</v>
      </c>
      <c r="V23" s="2">
        <f t="shared" si="6"/>
        <v>0</v>
      </c>
      <c r="W23" s="2">
        <f t="shared" si="7"/>
        <v>0</v>
      </c>
      <c r="X23" s="2">
        <f t="shared" si="8"/>
        <v>0</v>
      </c>
      <c r="Y23" s="2">
        <f t="shared" si="9"/>
        <v>0</v>
      </c>
      <c r="Z23" s="10">
        <f t="shared" si="10"/>
        <v>1</v>
      </c>
    </row>
    <row r="24" spans="2:27">
      <c r="B24" s="7" t="e">
        <f>VLOOKUP(D24,[1]UV!A:C,3,0)</f>
        <v>#N/A</v>
      </c>
      <c r="C24" s="3" t="e">
        <f>VLOOKUP(D24,[1]UV!A:B,2,0)</f>
        <v>#N/A</v>
      </c>
      <c r="D24" s="12" t="s">
        <v>35</v>
      </c>
      <c r="E24" s="32">
        <v>0.15</v>
      </c>
      <c r="F24" s="33">
        <v>0.08</v>
      </c>
      <c r="G24" s="36">
        <v>0.36</v>
      </c>
      <c r="H24" s="4">
        <v>0</v>
      </c>
      <c r="I24" s="11">
        <v>0</v>
      </c>
      <c r="J24" s="34">
        <v>0.09</v>
      </c>
      <c r="K24" s="33">
        <v>0.1</v>
      </c>
      <c r="L24" s="8">
        <v>0</v>
      </c>
      <c r="M24" s="5">
        <v>0</v>
      </c>
      <c r="N24" s="35">
        <v>0.06</v>
      </c>
      <c r="O24" s="6">
        <f t="shared" si="0"/>
        <v>0.83999999999999986</v>
      </c>
      <c r="P24" s="30" t="s">
        <v>35</v>
      </c>
      <c r="Q24" s="31">
        <f t="shared" si="1"/>
        <v>0.1785714285714286</v>
      </c>
      <c r="R24" s="31">
        <f t="shared" si="2"/>
        <v>9.5238095238095261E-2</v>
      </c>
      <c r="S24" s="31">
        <f t="shared" si="3"/>
        <v>0.4285714285714286</v>
      </c>
      <c r="T24" s="31">
        <f t="shared" si="4"/>
        <v>0</v>
      </c>
      <c r="U24" s="31">
        <f t="shared" si="5"/>
        <v>0</v>
      </c>
      <c r="V24" s="31">
        <f t="shared" si="6"/>
        <v>0.10714285714285715</v>
      </c>
      <c r="W24" s="31">
        <f t="shared" si="7"/>
        <v>0.11904761904761907</v>
      </c>
      <c r="X24" s="31">
        <f t="shared" si="8"/>
        <v>0</v>
      </c>
      <c r="Y24" s="31">
        <f t="shared" si="9"/>
        <v>0</v>
      </c>
      <c r="Z24" s="31">
        <f t="shared" si="10"/>
        <v>7.1428571428571438E-2</v>
      </c>
    </row>
    <row r="25" spans="2:27">
      <c r="B25" s="123"/>
      <c r="C25" s="123"/>
      <c r="D25" s="128"/>
      <c r="E25" s="126">
        <f t="shared" ref="E25:N25" si="11">SUM(E4:E24)</f>
        <v>1</v>
      </c>
      <c r="F25" s="117">
        <f t="shared" si="11"/>
        <v>1.0002352933829297</v>
      </c>
      <c r="G25" s="117">
        <f t="shared" si="11"/>
        <v>1.0001459849811922</v>
      </c>
      <c r="H25" s="124">
        <f t="shared" si="11"/>
        <v>1.0003010756906001</v>
      </c>
      <c r="I25" s="124">
        <f t="shared" si="11"/>
        <v>1.000357141935786</v>
      </c>
      <c r="J25" s="118">
        <f t="shared" si="11"/>
        <v>1.0001203004463792</v>
      </c>
      <c r="K25" s="124">
        <f t="shared" si="11"/>
        <v>1</v>
      </c>
      <c r="L25" s="126">
        <f t="shared" si="11"/>
        <v>1</v>
      </c>
      <c r="M25" s="124">
        <f t="shared" si="11"/>
        <v>0.99957142809723909</v>
      </c>
      <c r="N25" s="119">
        <f t="shared" si="11"/>
        <v>0.99970731602989304</v>
      </c>
      <c r="P25" s="127"/>
      <c r="Q25" s="120">
        <f t="shared" ref="Q25:Z25" si="12">SUM(Q4:Q24)</f>
        <v>1.5842065285601423</v>
      </c>
      <c r="R25" s="120">
        <f t="shared" si="12"/>
        <v>1.7311227454470004</v>
      </c>
      <c r="S25" s="120">
        <f t="shared" si="12"/>
        <v>1.3610803816104593</v>
      </c>
      <c r="T25" s="121">
        <f t="shared" si="12"/>
        <v>3.332677126261625</v>
      </c>
      <c r="U25" s="121">
        <f t="shared" si="12"/>
        <v>3.2007324095837064</v>
      </c>
      <c r="V25" s="129">
        <f t="shared" si="12"/>
        <v>1.6166802846529476</v>
      </c>
      <c r="W25" s="121">
        <f t="shared" si="12"/>
        <v>1.2352924243780896</v>
      </c>
      <c r="X25" s="125">
        <f t="shared" si="12"/>
        <v>1.6368783838065823</v>
      </c>
      <c r="Y25" s="121">
        <f t="shared" si="12"/>
        <v>2.0046917014330505</v>
      </c>
      <c r="Z25" s="122">
        <f t="shared" si="12"/>
        <v>3.2966380142663971</v>
      </c>
      <c r="AA25" s="122"/>
    </row>
    <row r="26" spans="2:27">
      <c r="AA26" s="1"/>
    </row>
    <row r="27" spans="2:27">
      <c r="AA27" s="1"/>
    </row>
    <row r="28" spans="2:27">
      <c r="AA28" s="1"/>
    </row>
    <row r="29" spans="2:27">
      <c r="AA29" s="1"/>
    </row>
    <row r="30" spans="2:27">
      <c r="AA30" s="1"/>
    </row>
    <row r="31" spans="2:27">
      <c r="AA31" s="1"/>
    </row>
    <row r="32" spans="2:27">
      <c r="AA32" s="1"/>
    </row>
    <row r="33" spans="27:27">
      <c r="AA33" s="1"/>
    </row>
    <row r="34" spans="27:27">
      <c r="AA34" s="1"/>
    </row>
    <row r="35" spans="27:27">
      <c r="AA35" s="1"/>
    </row>
    <row r="36" spans="27:27">
      <c r="AA36" s="1"/>
    </row>
    <row r="37" spans="27:27">
      <c r="AA37" s="1"/>
    </row>
    <row r="38" spans="27:27">
      <c r="AA38" s="1"/>
    </row>
    <row r="39" spans="27:27">
      <c r="AA39" s="1"/>
    </row>
    <row r="40" spans="27:27">
      <c r="AA40" s="1"/>
    </row>
    <row r="41" spans="27:27">
      <c r="AA41" s="1"/>
    </row>
    <row r="42" spans="27:27">
      <c r="AA42" s="1"/>
    </row>
    <row r="43" spans="27:27">
      <c r="AA43" s="1"/>
    </row>
    <row r="44" spans="27:27">
      <c r="AA44" s="1"/>
    </row>
    <row r="45" spans="27:27">
      <c r="AA45" s="1"/>
    </row>
    <row r="46" spans="27:27">
      <c r="AA46" s="1"/>
    </row>
    <row r="47" spans="27:27">
      <c r="AA47" s="1"/>
    </row>
    <row r="48" spans="27:27">
      <c r="AA48" s="1"/>
    </row>
    <row r="49" spans="27:27">
      <c r="AA49" s="1"/>
    </row>
    <row r="50" spans="27:27">
      <c r="AA50" s="1"/>
    </row>
    <row r="51" spans="27:27">
      <c r="AA51" s="1"/>
    </row>
    <row r="52" spans="27:27">
      <c r="AA52" s="1"/>
    </row>
    <row r="53" spans="27:27">
      <c r="AA53" s="1"/>
    </row>
    <row r="54" spans="27:27">
      <c r="AA54" s="1"/>
    </row>
    <row r="55" spans="27:27">
      <c r="AA55" s="1"/>
    </row>
    <row r="56" spans="27:27">
      <c r="AA56" s="1"/>
    </row>
    <row r="57" spans="27:27">
      <c r="AA57" s="1"/>
    </row>
    <row r="58" spans="27:27">
      <c r="AA58" s="1"/>
    </row>
    <row r="59" spans="27:27">
      <c r="AA59" s="1"/>
    </row>
    <row r="60" spans="27:27">
      <c r="AA60" s="1"/>
    </row>
    <row r="61" spans="27:27">
      <c r="AA61" s="1"/>
    </row>
    <row r="62" spans="27:27">
      <c r="AA62" s="1"/>
    </row>
    <row r="63" spans="27:27">
      <c r="AA63" s="1"/>
    </row>
    <row r="64" spans="27:27">
      <c r="AA64" s="1"/>
    </row>
    <row r="65" spans="27:27">
      <c r="AA65" s="1"/>
    </row>
    <row r="66" spans="27:27">
      <c r="AA66" s="1"/>
    </row>
    <row r="67" spans="27:27">
      <c r="AA67" s="1"/>
    </row>
    <row r="68" spans="27:27">
      <c r="AA68" s="1"/>
    </row>
    <row r="69" spans="27:27">
      <c r="AA69" s="1"/>
    </row>
    <row r="70" spans="27:27">
      <c r="AA70" s="1"/>
    </row>
    <row r="71" spans="27:27">
      <c r="AA71" s="1"/>
    </row>
    <row r="72" spans="27:27">
      <c r="AA72" s="1"/>
    </row>
    <row r="73" spans="27:27">
      <c r="AA73" s="1"/>
    </row>
    <row r="74" spans="27:27">
      <c r="AA74" s="1"/>
    </row>
    <row r="75" spans="27:27">
      <c r="AA75" s="1"/>
    </row>
    <row r="76" spans="27:27">
      <c r="AA76" s="1"/>
    </row>
    <row r="77" spans="27:27">
      <c r="AA77" s="1"/>
    </row>
    <row r="78" spans="27:27">
      <c r="AA78" s="1"/>
    </row>
    <row r="79" spans="27:27">
      <c r="AA79" s="1"/>
    </row>
    <row r="80" spans="27:27">
      <c r="AA80" s="1"/>
    </row>
    <row r="81" spans="27:27">
      <c r="AA81" s="1"/>
    </row>
    <row r="82" spans="27:27">
      <c r="AA82" s="1"/>
    </row>
    <row r="83" spans="27:27">
      <c r="AA83" s="1"/>
    </row>
    <row r="84" spans="27:27">
      <c r="AA84" s="1"/>
    </row>
    <row r="85" spans="27:27">
      <c r="AA85" s="1"/>
    </row>
    <row r="86" spans="27:27">
      <c r="AA86" s="1"/>
    </row>
    <row r="87" spans="27:27">
      <c r="AA87" s="1"/>
    </row>
    <row r="88" spans="27:27">
      <c r="AA88" s="1"/>
    </row>
    <row r="89" spans="27:27">
      <c r="AA89" s="1"/>
    </row>
    <row r="90" spans="27:27">
      <c r="AA90" s="1"/>
    </row>
    <row r="91" spans="27:27">
      <c r="AA91" s="1"/>
    </row>
    <row r="92" spans="27:27">
      <c r="AA92" s="1"/>
    </row>
    <row r="93" spans="27:27">
      <c r="AA93" s="1"/>
    </row>
    <row r="94" spans="27:27">
      <c r="AA94" s="1"/>
    </row>
    <row r="95" spans="27:27">
      <c r="AA95" s="1"/>
    </row>
    <row r="96" spans="27:27">
      <c r="AA96" s="1"/>
    </row>
    <row r="97" spans="27:27">
      <c r="AA97" s="1"/>
    </row>
    <row r="98" spans="27:27">
      <c r="AA98" s="1"/>
    </row>
    <row r="99" spans="27:27">
      <c r="AA99" s="1"/>
    </row>
    <row r="100" spans="27:27">
      <c r="AA100" s="1"/>
    </row>
    <row r="101" spans="27:27">
      <c r="AA101" s="1"/>
    </row>
    <row r="102" spans="27:27">
      <c r="AA102" s="1"/>
    </row>
    <row r="103" spans="27:27">
      <c r="AA103" s="1"/>
    </row>
    <row r="104" spans="27:27">
      <c r="AA104" s="1"/>
    </row>
    <row r="105" spans="27:27">
      <c r="AA105" s="1"/>
    </row>
    <row r="106" spans="27:27">
      <c r="AA106" s="1"/>
    </row>
    <row r="107" spans="27:27">
      <c r="AA107" s="1"/>
    </row>
    <row r="108" spans="27:27">
      <c r="AA108" s="1"/>
    </row>
    <row r="109" spans="27:27">
      <c r="AA109" s="1"/>
    </row>
    <row r="110" spans="27:27">
      <c r="AA110" s="1"/>
    </row>
    <row r="111" spans="27:27">
      <c r="AA111" s="1"/>
    </row>
    <row r="112" spans="27:27">
      <c r="AA112" s="1"/>
    </row>
    <row r="113" spans="27:27">
      <c r="AA113" s="1"/>
    </row>
    <row r="114" spans="27:27">
      <c r="AA114" s="1"/>
    </row>
    <row r="115" spans="27:27">
      <c r="AA115" s="1"/>
    </row>
    <row r="116" spans="27:27">
      <c r="AA116" s="1"/>
    </row>
    <row r="117" spans="27:27">
      <c r="AA117" s="1"/>
    </row>
    <row r="118" spans="27:27">
      <c r="AA118" s="1"/>
    </row>
    <row r="119" spans="27:27">
      <c r="AA119" s="1"/>
    </row>
    <row r="120" spans="27:27">
      <c r="AA120" s="1"/>
    </row>
    <row r="121" spans="27:27">
      <c r="AA121" s="1"/>
    </row>
    <row r="122" spans="27:27">
      <c r="AA122" s="1"/>
    </row>
    <row r="123" spans="27:27">
      <c r="AA123" s="1"/>
    </row>
    <row r="124" spans="27:27">
      <c r="AA124" s="1"/>
    </row>
    <row r="125" spans="27:27">
      <c r="AA125" s="1"/>
    </row>
    <row r="126" spans="27:27">
      <c r="AA126" s="1"/>
    </row>
    <row r="127" spans="27:27">
      <c r="AA127" s="1"/>
    </row>
    <row r="128" spans="27:27">
      <c r="AA128" s="1"/>
    </row>
    <row r="129" spans="27:27">
      <c r="AA129" s="1"/>
    </row>
    <row r="130" spans="27:27">
      <c r="AA130" s="1"/>
    </row>
    <row r="131" spans="27:27">
      <c r="AA131" s="1"/>
    </row>
    <row r="132" spans="27:27">
      <c r="AA132" s="1"/>
    </row>
    <row r="133" spans="27:27">
      <c r="AA133" s="1"/>
    </row>
    <row r="134" spans="27:27">
      <c r="AA134" s="1"/>
    </row>
    <row r="135" spans="27:27">
      <c r="AA135" s="1"/>
    </row>
    <row r="136" spans="27:27">
      <c r="AA136" s="1"/>
    </row>
    <row r="137" spans="27:27">
      <c r="AA137" s="1"/>
    </row>
    <row r="138" spans="27:27">
      <c r="AA138" s="1"/>
    </row>
    <row r="139" spans="27:27">
      <c r="AA139" s="1"/>
    </row>
    <row r="140" spans="27:27">
      <c r="AA140" s="1"/>
    </row>
    <row r="141" spans="27:27">
      <c r="AA141" s="1"/>
    </row>
    <row r="142" spans="27:27">
      <c r="AA142" s="1"/>
    </row>
    <row r="143" spans="27:27">
      <c r="AA143" s="1"/>
    </row>
    <row r="144" spans="27:27">
      <c r="AA144" s="1"/>
    </row>
    <row r="145" spans="27:27">
      <c r="AA145" s="1"/>
    </row>
    <row r="146" spans="27:27">
      <c r="AA146" s="1"/>
    </row>
    <row r="147" spans="27:27">
      <c r="AA147" s="1"/>
    </row>
    <row r="148" spans="27:27">
      <c r="AA148" s="1"/>
    </row>
    <row r="149" spans="27:27">
      <c r="AA149" s="1"/>
    </row>
    <row r="150" spans="27:27">
      <c r="AA150" s="1"/>
    </row>
    <row r="151" spans="27:27">
      <c r="AA151" s="1"/>
    </row>
    <row r="152" spans="27:27">
      <c r="AA152" s="1"/>
    </row>
    <row r="153" spans="27:27">
      <c r="AA153" s="1"/>
    </row>
    <row r="154" spans="27:27">
      <c r="AA154" s="1"/>
    </row>
    <row r="155" spans="27:27">
      <c r="AA155" s="1"/>
    </row>
    <row r="156" spans="27:27">
      <c r="AA156" s="1"/>
    </row>
    <row r="157" spans="27:27">
      <c r="AA157" s="1"/>
    </row>
    <row r="158" spans="27:27">
      <c r="AA158" s="1"/>
    </row>
    <row r="159" spans="27:27">
      <c r="AA159" s="1"/>
    </row>
    <row r="160" spans="27:27">
      <c r="AA160" s="1"/>
    </row>
    <row r="161" spans="27:27">
      <c r="AA161" s="1"/>
    </row>
    <row r="162" spans="27:27">
      <c r="AA162" s="1"/>
    </row>
    <row r="163" spans="27:27">
      <c r="AA163" s="1"/>
    </row>
    <row r="164" spans="27:27">
      <c r="AA164" s="1"/>
    </row>
    <row r="165" spans="27:27">
      <c r="AA165" s="1"/>
    </row>
    <row r="166" spans="27:27">
      <c r="AA166" s="1"/>
    </row>
    <row r="167" spans="27:27">
      <c r="AA167" s="1"/>
    </row>
    <row r="168" spans="27:27">
      <c r="AA168" s="1"/>
    </row>
    <row r="169" spans="27:27">
      <c r="AA169" s="1"/>
    </row>
    <row r="170" spans="27:27">
      <c r="AA170" s="1"/>
    </row>
    <row r="171" spans="27:27">
      <c r="AA171" s="1"/>
    </row>
    <row r="172" spans="27:27">
      <c r="AA172" s="1"/>
    </row>
    <row r="173" spans="27:27">
      <c r="AA173" s="1"/>
    </row>
    <row r="174" spans="27:27">
      <c r="AA174" s="1"/>
    </row>
    <row r="175" spans="27:27">
      <c r="AA175" s="1"/>
    </row>
    <row r="176" spans="27:27">
      <c r="AA176" s="1"/>
    </row>
    <row r="177" spans="27:27">
      <c r="AA177" s="1"/>
    </row>
    <row r="178" spans="27:27">
      <c r="AA178" s="1"/>
    </row>
    <row r="179" spans="27:27">
      <c r="AA179" s="1"/>
    </row>
    <row r="180" spans="27:27">
      <c r="AA180" s="1"/>
    </row>
    <row r="181" spans="27:27">
      <c r="AA181" s="1"/>
    </row>
    <row r="182" spans="27:27">
      <c r="AA182" s="1"/>
    </row>
    <row r="183" spans="27:27">
      <c r="AA183" s="1"/>
    </row>
    <row r="184" spans="27:27">
      <c r="AA184" s="1"/>
    </row>
    <row r="185" spans="27:27">
      <c r="AA185" s="1"/>
    </row>
    <row r="186" spans="27:27">
      <c r="AA186" s="1"/>
    </row>
    <row r="187" spans="27:27">
      <c r="AA187" s="1"/>
    </row>
    <row r="188" spans="27:27">
      <c r="AA188" s="1"/>
    </row>
    <row r="189" spans="27:27">
      <c r="AA189" s="1"/>
    </row>
    <row r="190" spans="27:27">
      <c r="AA190" s="1"/>
    </row>
    <row r="191" spans="27:27">
      <c r="AA191" s="1"/>
    </row>
    <row r="192" spans="27:27">
      <c r="AA192" s="1"/>
    </row>
    <row r="193" spans="27:27">
      <c r="AA193" s="1"/>
    </row>
    <row r="194" spans="27:27">
      <c r="AA194" s="1"/>
    </row>
    <row r="195" spans="27:27">
      <c r="AA195" s="1"/>
    </row>
    <row r="196" spans="27:27">
      <c r="AA196" s="1"/>
    </row>
    <row r="197" spans="27:27">
      <c r="AA197" s="1"/>
    </row>
    <row r="198" spans="27:27">
      <c r="AA198" s="1"/>
    </row>
    <row r="199" spans="27:27">
      <c r="AA199" s="1"/>
    </row>
    <row r="200" spans="27:27">
      <c r="AA200" s="1"/>
    </row>
  </sheetData>
  <phoneticPr fontId="9" type="noConversion"/>
  <conditionalFormatting sqref="C3:C24">
    <cfRule type="dataBar" priority="2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{E0E37AF0-CF63-4443-BAD8-B646F575E268}</x14:id>
        </ext>
      </extLst>
    </cfRule>
  </conditionalFormatting>
  <conditionalFormatting sqref="E4:N24">
    <cfRule type="colorScale" priority="3">
      <colorScale>
        <cfvo type="min"/>
        <cfvo type="max"/>
        <color rgb="FFFFFFFF"/>
        <color rgb="FF6CBF63"/>
      </colorScale>
    </cfRule>
  </conditionalFormatting>
  <conditionalFormatting sqref="Q4:Z24">
    <cfRule type="colorScale" priority="4">
      <colorScale>
        <cfvo type="min"/>
        <cfvo type="max"/>
        <color rgb="FFFFFFFF"/>
        <color rgb="FF6CBF63"/>
      </colorScale>
    </cfRule>
    <cfRule type="colorScale" priority="5">
      <colorScale>
        <cfvo type="min"/>
        <cfvo type="max"/>
        <color rgb="FF6CBF63"/>
        <color rgb="FFFFFFFF"/>
      </colorScale>
    </cfRule>
  </conditionalFormatting>
  <pageMargins left="0.7" right="0.7" top="0.75" bottom="0.75" header="0.3" footer="0.3"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E37AF0-CF63-4443-BAD8-B646F575E268}">
            <x14:dataBar minLength="0" maxLength="100" gradient="0" axisPosition="none">
              <x14:cfvo type="autoMin"/>
              <x14:cfvo type="autoMax"/>
              <x14:negativeFillColor rgb="FFF76964"/>
            </x14:dataBar>
          </x14:cfRule>
          <xm:sqref>C3:C24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2527-A98D-E541-AB20-9F3076891B26}">
  <sheetPr>
    <tabColor rgb="FF4E83FD"/>
    <outlinePr summaryBelow="0" summaryRight="0"/>
  </sheetPr>
  <dimension ref="A1:O104"/>
  <sheetViews>
    <sheetView tabSelected="1" topLeftCell="A18" workbookViewId="0">
      <selection activeCell="J41" sqref="J41"/>
    </sheetView>
  </sheetViews>
  <sheetFormatPr baseColWidth="10" defaultColWidth="14" defaultRowHeight="13"/>
  <cols>
    <col min="1" max="3" width="14" customWidth="1"/>
    <col min="4" max="4" width="29" customWidth="1"/>
    <col min="5" max="5" width="14" customWidth="1"/>
    <col min="6" max="15" width="13" customWidth="1"/>
  </cols>
  <sheetData>
    <row r="1" spans="1:15">
      <c r="A1" s="130" t="s">
        <v>36</v>
      </c>
      <c r="B1" s="130" t="s">
        <v>37</v>
      </c>
      <c r="C1" s="130" t="s">
        <v>38</v>
      </c>
      <c r="D1" s="130" t="s">
        <v>39</v>
      </c>
      <c r="E1" s="130" t="s">
        <v>40</v>
      </c>
      <c r="F1" s="131" t="s">
        <v>5</v>
      </c>
      <c r="G1" s="130" t="s">
        <v>6</v>
      </c>
      <c r="H1" s="130" t="s">
        <v>7</v>
      </c>
      <c r="I1" s="130" t="s">
        <v>8</v>
      </c>
      <c r="J1" s="130" t="s">
        <v>9</v>
      </c>
      <c r="K1" s="130" t="s">
        <v>10</v>
      </c>
      <c r="L1" s="130" t="s">
        <v>11</v>
      </c>
      <c r="M1" s="130" t="s">
        <v>12</v>
      </c>
      <c r="N1" s="130" t="s">
        <v>13</v>
      </c>
      <c r="O1" s="130" t="s">
        <v>14</v>
      </c>
    </row>
    <row r="2" spans="1:15">
      <c r="A2" s="155" t="s">
        <v>20</v>
      </c>
      <c r="B2" s="151" t="s">
        <v>41</v>
      </c>
      <c r="C2" s="132">
        <v>6.5199999999999994E-2</v>
      </c>
      <c r="D2" s="133" t="s">
        <v>42</v>
      </c>
      <c r="E2" s="134">
        <v>0.82</v>
      </c>
      <c r="F2" s="143">
        <v>0</v>
      </c>
      <c r="G2" s="144">
        <v>41.82</v>
      </c>
      <c r="H2" s="144">
        <v>0</v>
      </c>
      <c r="I2" s="144">
        <v>45.32</v>
      </c>
      <c r="J2" s="144">
        <v>63.89</v>
      </c>
      <c r="K2" s="144">
        <v>33.94</v>
      </c>
      <c r="L2" s="144">
        <v>53.72</v>
      </c>
      <c r="M2" s="144">
        <v>0</v>
      </c>
      <c r="N2" s="144">
        <v>36.94</v>
      </c>
      <c r="O2" s="144">
        <v>0</v>
      </c>
    </row>
    <row r="3" spans="1:15">
      <c r="A3" s="156"/>
      <c r="B3" s="152"/>
      <c r="C3" s="135">
        <v>6.5199999999999994E-2</v>
      </c>
      <c r="D3" s="136" t="s">
        <v>43</v>
      </c>
      <c r="E3" s="137">
        <v>0.78</v>
      </c>
      <c r="F3" s="138">
        <v>0</v>
      </c>
      <c r="G3" s="145">
        <v>0</v>
      </c>
      <c r="H3" s="145">
        <v>0</v>
      </c>
      <c r="I3" s="145">
        <v>43.11</v>
      </c>
      <c r="J3" s="145">
        <v>60.77</v>
      </c>
      <c r="K3" s="145">
        <v>0</v>
      </c>
      <c r="L3" s="145">
        <v>51.1</v>
      </c>
      <c r="M3" s="145">
        <v>56.67</v>
      </c>
      <c r="N3" s="145">
        <v>0</v>
      </c>
      <c r="O3" s="145">
        <v>0</v>
      </c>
    </row>
    <row r="4" spans="1:15">
      <c r="A4" s="156"/>
      <c r="B4" s="152"/>
      <c r="C4" s="135">
        <v>6.5199999999999994E-2</v>
      </c>
      <c r="D4" s="136" t="s">
        <v>44</v>
      </c>
      <c r="E4" s="137">
        <v>0.76</v>
      </c>
      <c r="F4" s="138">
        <v>37.44</v>
      </c>
      <c r="G4" s="145">
        <v>38.76</v>
      </c>
      <c r="H4" s="145">
        <v>0</v>
      </c>
      <c r="I4" s="145">
        <v>42.01</v>
      </c>
      <c r="J4" s="145">
        <v>59.21</v>
      </c>
      <c r="K4" s="145">
        <v>0</v>
      </c>
      <c r="L4" s="145">
        <v>49.79</v>
      </c>
      <c r="M4" s="145">
        <v>0</v>
      </c>
      <c r="N4" s="145">
        <v>34.24</v>
      </c>
      <c r="O4" s="145">
        <v>0</v>
      </c>
    </row>
    <row r="5" spans="1:15">
      <c r="A5" s="156"/>
      <c r="B5" s="152"/>
      <c r="C5" s="135">
        <v>6.5199999999999994E-2</v>
      </c>
      <c r="D5" s="136" t="s">
        <v>45</v>
      </c>
      <c r="E5" s="137">
        <v>0.72</v>
      </c>
      <c r="F5" s="138">
        <v>0</v>
      </c>
      <c r="G5" s="145">
        <v>36.72</v>
      </c>
      <c r="H5" s="145">
        <v>0</v>
      </c>
      <c r="I5" s="145">
        <v>0</v>
      </c>
      <c r="J5" s="145">
        <v>56.1</v>
      </c>
      <c r="K5" s="145">
        <v>0</v>
      </c>
      <c r="L5" s="145">
        <v>0</v>
      </c>
      <c r="M5" s="145">
        <v>52.31</v>
      </c>
      <c r="N5" s="145">
        <v>32.43</v>
      </c>
      <c r="O5" s="145">
        <v>0</v>
      </c>
    </row>
    <row r="6" spans="1:15">
      <c r="A6" s="156"/>
      <c r="B6" s="152"/>
      <c r="C6" s="135">
        <v>6.5199999999999994E-2</v>
      </c>
      <c r="D6" s="136" t="s">
        <v>46</v>
      </c>
      <c r="E6" s="137">
        <v>0.7</v>
      </c>
      <c r="F6" s="138">
        <v>34.479999999999997</v>
      </c>
      <c r="G6" s="145">
        <v>35.700000000000003</v>
      </c>
      <c r="H6" s="145">
        <v>0</v>
      </c>
      <c r="I6" s="145">
        <v>0</v>
      </c>
      <c r="J6" s="145">
        <v>54.54</v>
      </c>
      <c r="K6" s="145">
        <v>0</v>
      </c>
      <c r="L6" s="145">
        <v>45.86</v>
      </c>
      <c r="M6" s="145">
        <v>50.86</v>
      </c>
      <c r="N6" s="145">
        <v>31.53</v>
      </c>
      <c r="O6" s="145">
        <v>0</v>
      </c>
    </row>
    <row r="7" spans="1:15">
      <c r="A7" s="156"/>
      <c r="B7" s="152"/>
      <c r="C7" s="135">
        <v>6.5199999999999994E-2</v>
      </c>
      <c r="D7" s="136" t="s">
        <v>47</v>
      </c>
      <c r="E7" s="137">
        <v>0.67</v>
      </c>
      <c r="F7" s="138">
        <v>0</v>
      </c>
      <c r="G7" s="145">
        <v>34.17</v>
      </c>
      <c r="H7" s="145">
        <v>0</v>
      </c>
      <c r="I7" s="145">
        <v>37.03</v>
      </c>
      <c r="J7" s="145">
        <v>52.2</v>
      </c>
      <c r="K7" s="145">
        <v>27.73</v>
      </c>
      <c r="L7" s="145">
        <v>0</v>
      </c>
      <c r="M7" s="145">
        <v>0</v>
      </c>
      <c r="N7" s="145">
        <v>0</v>
      </c>
      <c r="O7" s="145">
        <v>0</v>
      </c>
    </row>
    <row r="8" spans="1:15">
      <c r="A8" s="156"/>
      <c r="B8" s="152"/>
      <c r="C8" s="135">
        <v>6.5199999999999994E-2</v>
      </c>
      <c r="D8" s="136" t="s">
        <v>48</v>
      </c>
      <c r="E8" s="137">
        <v>0.66</v>
      </c>
      <c r="F8" s="138">
        <v>0</v>
      </c>
      <c r="G8" s="145">
        <v>33.659999999999997</v>
      </c>
      <c r="H8" s="145">
        <v>0</v>
      </c>
      <c r="I8" s="145">
        <v>36.479999999999997</v>
      </c>
      <c r="J8" s="145">
        <v>51.42</v>
      </c>
      <c r="K8" s="145">
        <v>0</v>
      </c>
      <c r="L8" s="145">
        <v>43.24</v>
      </c>
      <c r="M8" s="145">
        <v>0</v>
      </c>
      <c r="N8" s="145">
        <v>0</v>
      </c>
      <c r="O8" s="145">
        <v>0</v>
      </c>
    </row>
    <row r="9" spans="1:15">
      <c r="A9" s="156"/>
      <c r="B9" s="152"/>
      <c r="C9" s="135">
        <v>6.5199999999999994E-2</v>
      </c>
      <c r="D9" s="136" t="s">
        <v>49</v>
      </c>
      <c r="E9" s="137">
        <v>0.65</v>
      </c>
      <c r="F9" s="138">
        <v>32.020000000000003</v>
      </c>
      <c r="G9" s="145">
        <v>33.15</v>
      </c>
      <c r="H9" s="145">
        <v>0</v>
      </c>
      <c r="I9" s="145">
        <v>35.93</v>
      </c>
      <c r="J9" s="145">
        <v>50.64</v>
      </c>
      <c r="K9" s="145">
        <v>26.9</v>
      </c>
      <c r="L9" s="145">
        <v>42.58</v>
      </c>
      <c r="M9" s="145">
        <v>0</v>
      </c>
      <c r="N9" s="145">
        <v>29.28</v>
      </c>
      <c r="O9" s="145">
        <v>0</v>
      </c>
    </row>
    <row r="10" spans="1:15">
      <c r="A10" s="156"/>
      <c r="B10" s="152"/>
      <c r="C10" s="135">
        <v>6.5199999999999994E-2</v>
      </c>
      <c r="D10" s="136" t="s">
        <v>50</v>
      </c>
      <c r="E10" s="137">
        <v>0.57999999999999996</v>
      </c>
      <c r="F10" s="138">
        <v>28.57</v>
      </c>
      <c r="G10" s="145">
        <v>29.58</v>
      </c>
      <c r="H10" s="145">
        <v>0</v>
      </c>
      <c r="I10" s="145">
        <v>32.06</v>
      </c>
      <c r="J10" s="145">
        <v>0</v>
      </c>
      <c r="K10" s="145">
        <v>0</v>
      </c>
      <c r="L10" s="145">
        <v>0</v>
      </c>
      <c r="M10" s="145">
        <v>0</v>
      </c>
      <c r="N10" s="145">
        <v>26.13</v>
      </c>
      <c r="O10" s="145">
        <v>0</v>
      </c>
    </row>
    <row r="11" spans="1:15">
      <c r="A11" s="156"/>
      <c r="B11" s="152"/>
      <c r="C11" s="135">
        <v>6.5199999999999994E-2</v>
      </c>
      <c r="D11" s="136" t="s">
        <v>51</v>
      </c>
      <c r="E11" s="137">
        <v>0.46</v>
      </c>
      <c r="F11" s="138">
        <v>22.66</v>
      </c>
      <c r="G11" s="145">
        <v>23.46</v>
      </c>
      <c r="H11" s="145">
        <v>0</v>
      </c>
      <c r="I11" s="145">
        <v>25.43</v>
      </c>
      <c r="J11" s="145">
        <v>35.840000000000003</v>
      </c>
      <c r="K11" s="145">
        <v>0</v>
      </c>
      <c r="L11" s="145">
        <v>30.14</v>
      </c>
      <c r="M11" s="145">
        <v>0</v>
      </c>
      <c r="N11" s="145">
        <v>20.72</v>
      </c>
      <c r="O11" s="145">
        <v>0</v>
      </c>
    </row>
    <row r="12" spans="1:15">
      <c r="A12" s="157"/>
      <c r="B12" s="153"/>
      <c r="C12" s="135">
        <v>6.5199999999999994E-2</v>
      </c>
      <c r="D12" s="136" t="s">
        <v>52</v>
      </c>
      <c r="E12" s="137">
        <v>0.38</v>
      </c>
      <c r="F12" s="138">
        <v>0</v>
      </c>
      <c r="G12" s="145">
        <v>19.38</v>
      </c>
      <c r="H12" s="145">
        <v>0</v>
      </c>
      <c r="I12" s="145">
        <v>21</v>
      </c>
      <c r="J12" s="145">
        <v>0</v>
      </c>
      <c r="K12" s="145">
        <v>15.73</v>
      </c>
      <c r="L12" s="145">
        <v>24.9</v>
      </c>
      <c r="M12" s="145">
        <v>27.61</v>
      </c>
      <c r="N12" s="145">
        <v>17.12</v>
      </c>
      <c r="O12" s="145">
        <v>24.13</v>
      </c>
    </row>
    <row r="13" spans="1:15">
      <c r="A13" s="155" t="s">
        <v>16</v>
      </c>
      <c r="B13" s="151" t="s">
        <v>41</v>
      </c>
      <c r="C13" s="132">
        <v>5.1799999999999999E-2</v>
      </c>
      <c r="D13" s="139" t="s">
        <v>53</v>
      </c>
      <c r="E13" s="134">
        <v>0.91</v>
      </c>
      <c r="F13" s="143">
        <v>0</v>
      </c>
      <c r="G13" s="144">
        <v>0</v>
      </c>
      <c r="H13" s="144">
        <v>0</v>
      </c>
      <c r="I13" s="144">
        <v>89.89</v>
      </c>
      <c r="J13" s="144">
        <v>52.42</v>
      </c>
      <c r="K13" s="144">
        <v>0</v>
      </c>
      <c r="L13" s="144">
        <v>12.75</v>
      </c>
      <c r="M13" s="144">
        <v>0</v>
      </c>
      <c r="N13" s="144">
        <v>17.36</v>
      </c>
      <c r="O13" s="144">
        <v>0</v>
      </c>
    </row>
    <row r="14" spans="1:15">
      <c r="A14" s="156"/>
      <c r="B14" s="152"/>
      <c r="C14" s="140">
        <v>5.1799999999999999E-2</v>
      </c>
      <c r="D14" s="136" t="s">
        <v>54</v>
      </c>
      <c r="E14" s="137">
        <v>0.62</v>
      </c>
      <c r="F14" s="138">
        <v>0</v>
      </c>
      <c r="G14" s="145">
        <v>0</v>
      </c>
      <c r="H14" s="145">
        <v>0</v>
      </c>
      <c r="I14" s="145">
        <v>61.24</v>
      </c>
      <c r="J14" s="145">
        <v>35.72</v>
      </c>
      <c r="K14" s="145">
        <v>0</v>
      </c>
      <c r="L14" s="145">
        <v>8.69</v>
      </c>
      <c r="M14" s="145">
        <v>0</v>
      </c>
      <c r="N14" s="145">
        <v>11.83</v>
      </c>
      <c r="O14" s="145">
        <v>0</v>
      </c>
    </row>
    <row r="15" spans="1:15">
      <c r="A15" s="157"/>
      <c r="B15" s="153"/>
      <c r="C15" s="140">
        <v>5.1799999999999999E-2</v>
      </c>
      <c r="D15" s="136" t="s">
        <v>55</v>
      </c>
      <c r="E15" s="137">
        <v>0.62</v>
      </c>
      <c r="F15" s="138">
        <v>0</v>
      </c>
      <c r="G15" s="145">
        <v>0</v>
      </c>
      <c r="H15" s="145">
        <v>0</v>
      </c>
      <c r="I15" s="145">
        <v>61.24</v>
      </c>
      <c r="J15" s="145">
        <v>35.72</v>
      </c>
      <c r="K15" s="145">
        <v>0</v>
      </c>
      <c r="L15" s="145">
        <v>8.69</v>
      </c>
      <c r="M15" s="145">
        <v>0</v>
      </c>
      <c r="N15" s="145">
        <v>11.83</v>
      </c>
      <c r="O15" s="145">
        <v>0</v>
      </c>
    </row>
    <row r="16" spans="1:15">
      <c r="A16" s="155" t="s">
        <v>23</v>
      </c>
      <c r="B16" s="151" t="s">
        <v>41</v>
      </c>
      <c r="C16" s="132">
        <v>5.4600000000000003E-2</v>
      </c>
      <c r="D16" s="139" t="s">
        <v>56</v>
      </c>
      <c r="E16" s="134">
        <v>0.92</v>
      </c>
      <c r="F16" s="143">
        <v>0</v>
      </c>
      <c r="G16" s="144">
        <v>26.17</v>
      </c>
      <c r="H16" s="144">
        <v>15.82</v>
      </c>
      <c r="I16" s="144">
        <v>53.18</v>
      </c>
      <c r="J16" s="144">
        <v>0</v>
      </c>
      <c r="K16" s="144">
        <v>18.690000000000001</v>
      </c>
      <c r="L16" s="144">
        <v>31.03</v>
      </c>
      <c r="M16" s="144">
        <v>27.96</v>
      </c>
      <c r="N16" s="144">
        <v>32.36</v>
      </c>
      <c r="O16" s="144">
        <v>24.67</v>
      </c>
    </row>
    <row r="17" spans="1:15">
      <c r="A17" s="156"/>
      <c r="B17" s="152"/>
      <c r="C17" s="140">
        <v>5.4600000000000003E-2</v>
      </c>
      <c r="D17" s="136" t="s">
        <v>57</v>
      </c>
      <c r="E17" s="137">
        <v>0.87</v>
      </c>
      <c r="F17" s="138">
        <v>0</v>
      </c>
      <c r="G17" s="145">
        <v>24.75</v>
      </c>
      <c r="H17" s="145">
        <v>14.96</v>
      </c>
      <c r="I17" s="145">
        <v>50.29</v>
      </c>
      <c r="J17" s="145">
        <v>0</v>
      </c>
      <c r="K17" s="145">
        <v>17.68</v>
      </c>
      <c r="L17" s="145">
        <v>29.35</v>
      </c>
      <c r="M17" s="145">
        <v>26.44</v>
      </c>
      <c r="N17" s="145">
        <v>30.6</v>
      </c>
      <c r="O17" s="145">
        <v>23.33</v>
      </c>
    </row>
    <row r="18" spans="1:15">
      <c r="A18" s="156"/>
      <c r="B18" s="152"/>
      <c r="C18" s="140">
        <v>5.4600000000000003E-2</v>
      </c>
      <c r="D18" s="136" t="s">
        <v>58</v>
      </c>
      <c r="E18" s="137">
        <v>0.78</v>
      </c>
      <c r="F18" s="138">
        <v>0</v>
      </c>
      <c r="G18" s="145">
        <v>22.19</v>
      </c>
      <c r="H18" s="145">
        <v>13.42</v>
      </c>
      <c r="I18" s="145">
        <v>45.09</v>
      </c>
      <c r="J18" s="145">
        <v>0</v>
      </c>
      <c r="K18" s="145">
        <v>15.85</v>
      </c>
      <c r="L18" s="145">
        <v>26.31</v>
      </c>
      <c r="M18" s="145">
        <v>23.71</v>
      </c>
      <c r="N18" s="145">
        <v>27.44</v>
      </c>
      <c r="O18" s="145">
        <v>20.91</v>
      </c>
    </row>
    <row r="19" spans="1:15">
      <c r="A19" s="156"/>
      <c r="B19" s="152"/>
      <c r="C19" s="140">
        <v>5.4600000000000003E-2</v>
      </c>
      <c r="D19" s="136" t="s">
        <v>59</v>
      </c>
      <c r="E19" s="137">
        <v>0.68</v>
      </c>
      <c r="F19" s="138">
        <v>0</v>
      </c>
      <c r="G19" s="145">
        <v>19.34</v>
      </c>
      <c r="H19" s="145">
        <v>11.7</v>
      </c>
      <c r="I19" s="145">
        <v>39.31</v>
      </c>
      <c r="J19" s="145">
        <v>0</v>
      </c>
      <c r="K19" s="145">
        <v>13.82</v>
      </c>
      <c r="L19" s="145">
        <v>22.94</v>
      </c>
      <c r="M19" s="145">
        <v>20.67</v>
      </c>
      <c r="N19" s="145">
        <v>23.92</v>
      </c>
      <c r="O19" s="145">
        <v>18.23</v>
      </c>
    </row>
    <row r="20" spans="1:15">
      <c r="A20" s="156"/>
      <c r="B20" s="152"/>
      <c r="C20" s="140">
        <v>5.4600000000000003E-2</v>
      </c>
      <c r="D20" s="136" t="s">
        <v>60</v>
      </c>
      <c r="E20" s="137">
        <v>0.64</v>
      </c>
      <c r="F20" s="138">
        <v>0</v>
      </c>
      <c r="G20" s="145">
        <v>18.21</v>
      </c>
      <c r="H20" s="145">
        <v>11.01</v>
      </c>
      <c r="I20" s="145">
        <v>37</v>
      </c>
      <c r="J20" s="145">
        <v>0</v>
      </c>
      <c r="K20" s="145">
        <v>13</v>
      </c>
      <c r="L20" s="145">
        <v>21.59</v>
      </c>
      <c r="M20" s="145">
        <v>19.45</v>
      </c>
      <c r="N20" s="145">
        <v>22.51</v>
      </c>
      <c r="O20" s="145">
        <v>17.16</v>
      </c>
    </row>
    <row r="21" spans="1:15">
      <c r="A21" s="156"/>
      <c r="B21" s="152"/>
      <c r="C21" s="140">
        <v>5.4600000000000003E-2</v>
      </c>
      <c r="D21" s="136" t="s">
        <v>61</v>
      </c>
      <c r="E21" s="137">
        <v>0.39</v>
      </c>
      <c r="F21" s="138">
        <v>0</v>
      </c>
      <c r="G21" s="145">
        <v>11.09</v>
      </c>
      <c r="H21" s="145">
        <v>6.71</v>
      </c>
      <c r="I21" s="145">
        <v>22.54</v>
      </c>
      <c r="J21" s="145">
        <v>0</v>
      </c>
      <c r="K21" s="145">
        <v>7.92</v>
      </c>
      <c r="L21" s="145">
        <v>13.16</v>
      </c>
      <c r="M21" s="145">
        <v>11.85</v>
      </c>
      <c r="N21" s="145">
        <v>13.72</v>
      </c>
      <c r="O21" s="145">
        <v>10.46</v>
      </c>
    </row>
    <row r="22" spans="1:15">
      <c r="A22" s="157"/>
      <c r="B22" s="153"/>
      <c r="C22" s="140">
        <v>5.4600000000000003E-2</v>
      </c>
      <c r="D22" s="136" t="s">
        <v>62</v>
      </c>
      <c r="E22" s="137">
        <v>0.13</v>
      </c>
      <c r="F22" s="138">
        <v>0</v>
      </c>
      <c r="G22" s="145">
        <v>3.7</v>
      </c>
      <c r="H22" s="145">
        <v>2.2400000000000002</v>
      </c>
      <c r="I22" s="145">
        <v>7.51</v>
      </c>
      <c r="J22" s="145">
        <v>0</v>
      </c>
      <c r="K22" s="145">
        <v>2.64</v>
      </c>
      <c r="L22" s="145">
        <v>4.3899999999999997</v>
      </c>
      <c r="M22" s="145">
        <v>3.95</v>
      </c>
      <c r="N22" s="145">
        <v>4.57</v>
      </c>
      <c r="O22" s="145">
        <v>3.49</v>
      </c>
    </row>
    <row r="23" spans="1:15">
      <c r="A23" s="155" t="s">
        <v>17</v>
      </c>
      <c r="B23" s="151" t="s">
        <v>41</v>
      </c>
      <c r="C23" s="132">
        <v>2.7300000000000001E-2</v>
      </c>
      <c r="D23" s="139" t="s">
        <v>63</v>
      </c>
      <c r="E23" s="134">
        <v>0.76</v>
      </c>
      <c r="F23" s="143">
        <v>0</v>
      </c>
      <c r="G23" s="144">
        <v>0</v>
      </c>
      <c r="H23" s="144">
        <v>0</v>
      </c>
      <c r="I23" s="144">
        <v>34.32</v>
      </c>
      <c r="J23" s="144">
        <v>20.3</v>
      </c>
      <c r="K23" s="144">
        <v>5.05</v>
      </c>
      <c r="L23" s="144">
        <v>0</v>
      </c>
      <c r="M23" s="144">
        <v>0</v>
      </c>
      <c r="N23" s="144">
        <v>0</v>
      </c>
      <c r="O23" s="144">
        <v>0</v>
      </c>
    </row>
    <row r="24" spans="1:15">
      <c r="A24" s="156"/>
      <c r="B24" s="152"/>
      <c r="C24" s="140">
        <v>2.7300000000000001E-2</v>
      </c>
      <c r="D24" s="136" t="s">
        <v>64</v>
      </c>
      <c r="E24" s="137">
        <v>0.75</v>
      </c>
      <c r="F24" s="138">
        <v>0</v>
      </c>
      <c r="G24" s="145">
        <v>2.67</v>
      </c>
      <c r="H24" s="145">
        <v>0</v>
      </c>
      <c r="I24" s="145">
        <v>33.869999999999997</v>
      </c>
      <c r="J24" s="145">
        <v>20.03</v>
      </c>
      <c r="K24" s="145">
        <v>4.99</v>
      </c>
      <c r="L24" s="145">
        <v>0</v>
      </c>
      <c r="M24" s="145">
        <v>0</v>
      </c>
      <c r="N24" s="145">
        <v>0</v>
      </c>
      <c r="O24" s="145">
        <v>0</v>
      </c>
    </row>
    <row r="25" spans="1:15">
      <c r="A25" s="157"/>
      <c r="B25" s="153"/>
      <c r="C25" s="140">
        <v>2.7300000000000001E-2</v>
      </c>
      <c r="D25" s="136" t="s">
        <v>65</v>
      </c>
      <c r="E25" s="137">
        <v>0.63</v>
      </c>
      <c r="F25" s="138">
        <v>5.2</v>
      </c>
      <c r="G25" s="145">
        <v>0</v>
      </c>
      <c r="H25" s="145">
        <v>0</v>
      </c>
      <c r="I25" s="145">
        <v>28.45</v>
      </c>
      <c r="J25" s="145">
        <v>0</v>
      </c>
      <c r="K25" s="145">
        <v>4.1900000000000004</v>
      </c>
      <c r="L25" s="145">
        <v>0</v>
      </c>
      <c r="M25" s="145">
        <v>0</v>
      </c>
      <c r="N25" s="145">
        <v>0</v>
      </c>
      <c r="O25" s="145">
        <v>0</v>
      </c>
    </row>
    <row r="26" spans="1:15">
      <c r="A26" s="155" t="s">
        <v>19</v>
      </c>
      <c r="B26" s="151" t="s">
        <v>66</v>
      </c>
      <c r="C26" s="132">
        <v>6.5600000000000006E-2</v>
      </c>
      <c r="D26" s="139" t="s">
        <v>67</v>
      </c>
      <c r="E26" s="134">
        <v>0.75</v>
      </c>
      <c r="F26" s="143">
        <v>70.63</v>
      </c>
      <c r="G26" s="144">
        <v>58.38</v>
      </c>
      <c r="H26" s="144">
        <v>0</v>
      </c>
      <c r="I26" s="144">
        <v>41.71</v>
      </c>
      <c r="J26" s="144">
        <v>27.94</v>
      </c>
      <c r="K26" s="144">
        <v>25.66</v>
      </c>
      <c r="L26" s="144">
        <v>0</v>
      </c>
      <c r="M26" s="144">
        <v>0</v>
      </c>
      <c r="N26" s="144">
        <v>0</v>
      </c>
      <c r="O26" s="144">
        <v>60.46</v>
      </c>
    </row>
    <row r="27" spans="1:15">
      <c r="A27" s="157"/>
      <c r="B27" s="153"/>
      <c r="C27" s="140">
        <v>6.5600000000000006E-2</v>
      </c>
      <c r="D27" s="136" t="s">
        <v>68</v>
      </c>
      <c r="E27" s="137">
        <v>0.25</v>
      </c>
      <c r="F27" s="138">
        <v>23.54</v>
      </c>
      <c r="G27" s="145">
        <v>19.46</v>
      </c>
      <c r="H27" s="145">
        <v>0</v>
      </c>
      <c r="I27" s="145">
        <v>13.9</v>
      </c>
      <c r="J27" s="145">
        <v>9.31</v>
      </c>
      <c r="K27" s="145">
        <v>8.5500000000000007</v>
      </c>
      <c r="L27" s="145">
        <v>0</v>
      </c>
      <c r="M27" s="145">
        <v>0</v>
      </c>
      <c r="N27" s="145">
        <v>0</v>
      </c>
      <c r="O27" s="145">
        <v>20.149999999999999</v>
      </c>
    </row>
    <row r="28" spans="1:15">
      <c r="A28" s="155" t="s">
        <v>22</v>
      </c>
      <c r="B28" s="151" t="s">
        <v>66</v>
      </c>
      <c r="C28" s="132">
        <v>5.0099999999999999E-2</v>
      </c>
      <c r="D28" s="139" t="s">
        <v>69</v>
      </c>
      <c r="E28" s="134">
        <v>0.86</v>
      </c>
      <c r="F28" s="143">
        <v>42.3</v>
      </c>
      <c r="G28" s="144">
        <v>14.04</v>
      </c>
      <c r="H28" s="144">
        <v>38.07</v>
      </c>
      <c r="I28" s="144">
        <v>0</v>
      </c>
      <c r="J28" s="144">
        <v>26.51</v>
      </c>
      <c r="K28" s="144">
        <v>41.06</v>
      </c>
      <c r="L28" s="144">
        <v>8.32</v>
      </c>
      <c r="M28" s="144">
        <v>0</v>
      </c>
      <c r="N28" s="144">
        <v>0</v>
      </c>
      <c r="O28" s="144">
        <v>0</v>
      </c>
    </row>
    <row r="29" spans="1:15">
      <c r="A29" s="156"/>
      <c r="B29" s="152"/>
      <c r="C29" s="140">
        <v>5.0099999999999999E-2</v>
      </c>
      <c r="D29" s="136" t="s">
        <v>70</v>
      </c>
      <c r="E29" s="137">
        <v>0.84</v>
      </c>
      <c r="F29" s="138">
        <v>41.32</v>
      </c>
      <c r="G29" s="145">
        <v>0</v>
      </c>
      <c r="H29" s="145">
        <v>37.19</v>
      </c>
      <c r="I29" s="145">
        <v>0</v>
      </c>
      <c r="J29" s="145">
        <v>0</v>
      </c>
      <c r="K29" s="145">
        <v>40.11</v>
      </c>
      <c r="L29" s="145">
        <v>8.1300000000000008</v>
      </c>
      <c r="M29" s="145">
        <v>0</v>
      </c>
      <c r="N29" s="145">
        <v>0</v>
      </c>
      <c r="O29" s="145">
        <v>47.28</v>
      </c>
    </row>
    <row r="30" spans="1:15">
      <c r="A30" s="156"/>
      <c r="B30" s="152"/>
      <c r="C30" s="140">
        <v>5.0099999999999999E-2</v>
      </c>
      <c r="D30" s="136" t="s">
        <v>71</v>
      </c>
      <c r="E30" s="137">
        <v>0.79</v>
      </c>
      <c r="F30" s="138">
        <v>38.86</v>
      </c>
      <c r="G30" s="145">
        <v>12.89</v>
      </c>
      <c r="H30" s="145">
        <v>34.97</v>
      </c>
      <c r="I30" s="145">
        <v>0</v>
      </c>
      <c r="J30" s="145">
        <v>0</v>
      </c>
      <c r="K30" s="145">
        <v>37.72</v>
      </c>
      <c r="L30" s="145">
        <v>0</v>
      </c>
      <c r="M30" s="145">
        <v>0</v>
      </c>
      <c r="N30" s="145">
        <v>0</v>
      </c>
      <c r="O30" s="145">
        <v>44.47</v>
      </c>
    </row>
    <row r="31" spans="1:15">
      <c r="A31" s="156"/>
      <c r="B31" s="152"/>
      <c r="C31" s="140">
        <v>5.0099999999999999E-2</v>
      </c>
      <c r="D31" s="136" t="s">
        <v>72</v>
      </c>
      <c r="E31" s="137">
        <v>0.75</v>
      </c>
      <c r="F31" s="138">
        <v>36.89</v>
      </c>
      <c r="G31" s="145">
        <v>12.24</v>
      </c>
      <c r="H31" s="145">
        <v>33.200000000000003</v>
      </c>
      <c r="I31" s="145">
        <v>0</v>
      </c>
      <c r="J31" s="145">
        <v>0</v>
      </c>
      <c r="K31" s="145">
        <v>0</v>
      </c>
      <c r="L31" s="145">
        <v>0</v>
      </c>
      <c r="M31" s="145">
        <v>0</v>
      </c>
      <c r="N31" s="145">
        <v>0</v>
      </c>
      <c r="O31" s="145">
        <v>0</v>
      </c>
    </row>
    <row r="32" spans="1:15">
      <c r="A32" s="156"/>
      <c r="B32" s="152"/>
      <c r="C32" s="140">
        <v>5.0099999999999999E-2</v>
      </c>
      <c r="D32" s="136" t="s">
        <v>73</v>
      </c>
      <c r="E32" s="137">
        <v>0.63</v>
      </c>
      <c r="F32" s="138">
        <v>30.99</v>
      </c>
      <c r="G32" s="145">
        <v>10.28</v>
      </c>
      <c r="H32" s="145">
        <v>27.89</v>
      </c>
      <c r="I32" s="145">
        <v>0</v>
      </c>
      <c r="J32" s="145">
        <v>19.420000000000002</v>
      </c>
      <c r="K32" s="145">
        <v>30.08</v>
      </c>
      <c r="L32" s="145">
        <v>6.1</v>
      </c>
      <c r="M32" s="145">
        <v>0</v>
      </c>
      <c r="N32" s="145">
        <v>0</v>
      </c>
      <c r="O32" s="145">
        <v>0</v>
      </c>
    </row>
    <row r="33" spans="1:15">
      <c r="A33" s="156"/>
      <c r="B33" s="152"/>
      <c r="C33" s="140">
        <v>5.0099999999999999E-2</v>
      </c>
      <c r="D33" s="136" t="s">
        <v>74</v>
      </c>
      <c r="E33" s="137">
        <v>0.6</v>
      </c>
      <c r="F33" s="138">
        <v>0</v>
      </c>
      <c r="G33" s="145">
        <v>0</v>
      </c>
      <c r="H33" s="145">
        <v>26.56</v>
      </c>
      <c r="I33" s="145">
        <v>0</v>
      </c>
      <c r="J33" s="145">
        <v>18.5</v>
      </c>
      <c r="K33" s="145">
        <v>0</v>
      </c>
      <c r="L33" s="145">
        <v>5.81</v>
      </c>
      <c r="M33" s="145">
        <v>0</v>
      </c>
      <c r="N33" s="145">
        <v>9.69</v>
      </c>
      <c r="O33" s="145">
        <v>0</v>
      </c>
    </row>
    <row r="34" spans="1:15">
      <c r="A34" s="156"/>
      <c r="B34" s="152"/>
      <c r="C34" s="140">
        <v>5.0099999999999999E-2</v>
      </c>
      <c r="D34" s="136" t="s">
        <v>75</v>
      </c>
      <c r="E34" s="137">
        <v>0.77</v>
      </c>
      <c r="F34" s="138">
        <v>0</v>
      </c>
      <c r="G34" s="145">
        <v>12.57</v>
      </c>
      <c r="H34" s="145">
        <v>34.090000000000003</v>
      </c>
      <c r="I34" s="145">
        <v>0</v>
      </c>
      <c r="J34" s="145">
        <v>0</v>
      </c>
      <c r="K34" s="145">
        <v>0</v>
      </c>
      <c r="L34" s="145">
        <v>0</v>
      </c>
      <c r="M34" s="145">
        <v>0</v>
      </c>
      <c r="N34" s="145">
        <v>0</v>
      </c>
      <c r="O34" s="145">
        <v>0</v>
      </c>
    </row>
    <row r="35" spans="1:15">
      <c r="A35" s="157"/>
      <c r="B35" s="153"/>
      <c r="C35" s="140">
        <v>5.0099999999999999E-2</v>
      </c>
      <c r="D35" s="136" t="s">
        <v>76</v>
      </c>
      <c r="E35" s="137">
        <v>0.4</v>
      </c>
      <c r="F35" s="138">
        <v>0</v>
      </c>
      <c r="G35" s="145">
        <v>6.53</v>
      </c>
      <c r="H35" s="145">
        <v>17.71</v>
      </c>
      <c r="I35" s="145">
        <v>0</v>
      </c>
      <c r="J35" s="145">
        <v>12.33</v>
      </c>
      <c r="K35" s="145">
        <v>0</v>
      </c>
      <c r="L35" s="145">
        <v>0</v>
      </c>
      <c r="M35" s="145">
        <v>0</v>
      </c>
      <c r="N35" s="145">
        <v>0</v>
      </c>
      <c r="O35" s="145">
        <v>0</v>
      </c>
    </row>
    <row r="36" spans="1:15">
      <c r="A36" s="155" t="s">
        <v>18</v>
      </c>
      <c r="B36" s="151" t="s">
        <v>66</v>
      </c>
      <c r="C36" s="132">
        <v>3.6200000000000003E-2</v>
      </c>
      <c r="D36" s="139" t="s">
        <v>77</v>
      </c>
      <c r="E36" s="134">
        <v>0.8</v>
      </c>
      <c r="F36" s="143">
        <v>0</v>
      </c>
      <c r="G36" s="144">
        <v>0</v>
      </c>
      <c r="H36" s="144">
        <v>0</v>
      </c>
      <c r="I36" s="144">
        <v>44.78</v>
      </c>
      <c r="J36" s="144">
        <v>7.04</v>
      </c>
      <c r="K36" s="144">
        <v>0</v>
      </c>
      <c r="L36" s="144">
        <v>4.47</v>
      </c>
      <c r="M36" s="144">
        <v>9.68</v>
      </c>
      <c r="N36" s="144">
        <v>5.33</v>
      </c>
      <c r="O36" s="144">
        <v>0</v>
      </c>
    </row>
    <row r="37" spans="1:15">
      <c r="A37" s="156"/>
      <c r="B37" s="152"/>
      <c r="C37" s="140">
        <v>3.6200000000000003E-2</v>
      </c>
      <c r="D37" s="136" t="s">
        <v>78</v>
      </c>
      <c r="E37" s="137">
        <v>0.7</v>
      </c>
      <c r="F37" s="138">
        <v>0</v>
      </c>
      <c r="G37" s="145">
        <v>0</v>
      </c>
      <c r="H37" s="145">
        <v>0</v>
      </c>
      <c r="I37" s="145">
        <v>39.18</v>
      </c>
      <c r="J37" s="145">
        <v>6.16</v>
      </c>
      <c r="K37" s="145">
        <v>0</v>
      </c>
      <c r="L37" s="145">
        <v>3.91</v>
      </c>
      <c r="M37" s="145">
        <v>8.4700000000000006</v>
      </c>
      <c r="N37" s="145">
        <v>4.67</v>
      </c>
      <c r="O37" s="145">
        <v>0</v>
      </c>
    </row>
    <row r="38" spans="1:15">
      <c r="A38" s="157"/>
      <c r="B38" s="153"/>
      <c r="C38" s="140">
        <v>3.6200000000000003E-2</v>
      </c>
      <c r="D38" s="136" t="s">
        <v>79</v>
      </c>
      <c r="E38" s="137">
        <v>0.64</v>
      </c>
      <c r="F38" s="138">
        <v>0</v>
      </c>
      <c r="G38" s="145">
        <v>0</v>
      </c>
      <c r="H38" s="145">
        <v>0</v>
      </c>
      <c r="I38" s="145">
        <v>35.82</v>
      </c>
      <c r="J38" s="145">
        <v>5.63</v>
      </c>
      <c r="K38" s="145">
        <v>0</v>
      </c>
      <c r="L38" s="145">
        <v>3.58</v>
      </c>
      <c r="M38" s="145">
        <v>7.74</v>
      </c>
      <c r="N38" s="145">
        <v>4.2699999999999996</v>
      </c>
      <c r="O38" s="145">
        <v>0</v>
      </c>
    </row>
    <row r="39" spans="1:15">
      <c r="A39" s="155" t="s">
        <v>15</v>
      </c>
      <c r="B39" s="151" t="s">
        <v>66</v>
      </c>
      <c r="C39" s="132">
        <v>2.47E-2</v>
      </c>
      <c r="D39" s="139" t="s">
        <v>80</v>
      </c>
      <c r="E39" s="134">
        <v>0.74</v>
      </c>
      <c r="F39" s="143">
        <v>0</v>
      </c>
      <c r="G39" s="144">
        <v>0</v>
      </c>
      <c r="H39" s="144">
        <v>0</v>
      </c>
      <c r="I39" s="144">
        <v>19.38</v>
      </c>
      <c r="J39" s="144">
        <v>10.38</v>
      </c>
      <c r="K39" s="144">
        <v>0</v>
      </c>
      <c r="L39" s="144">
        <v>0</v>
      </c>
      <c r="M39" s="144">
        <v>0</v>
      </c>
      <c r="N39" s="144">
        <v>0</v>
      </c>
      <c r="O39" s="144">
        <v>0</v>
      </c>
    </row>
    <row r="40" spans="1:15">
      <c r="A40" s="156"/>
      <c r="B40" s="152"/>
      <c r="C40" s="140">
        <v>2.47E-2</v>
      </c>
      <c r="D40" s="136" t="s">
        <v>81</v>
      </c>
      <c r="E40" s="137">
        <v>0.67</v>
      </c>
      <c r="F40" s="138">
        <v>0</v>
      </c>
      <c r="G40" s="145">
        <v>0</v>
      </c>
      <c r="H40" s="145">
        <v>0</v>
      </c>
      <c r="I40" s="145">
        <v>17.55</v>
      </c>
      <c r="J40" s="145">
        <v>9.4</v>
      </c>
      <c r="K40" s="145">
        <v>0</v>
      </c>
      <c r="L40" s="145">
        <v>0</v>
      </c>
      <c r="M40" s="145">
        <v>0</v>
      </c>
      <c r="N40" s="145">
        <v>0</v>
      </c>
      <c r="O40" s="145">
        <v>0</v>
      </c>
    </row>
    <row r="41" spans="1:15">
      <c r="A41" s="157"/>
      <c r="B41" s="153"/>
      <c r="C41" s="140">
        <v>2.47E-2</v>
      </c>
      <c r="D41" s="136" t="s">
        <v>82</v>
      </c>
      <c r="E41" s="137">
        <v>0.63</v>
      </c>
      <c r="F41" s="138">
        <v>0</v>
      </c>
      <c r="G41" s="145">
        <v>0</v>
      </c>
      <c r="H41" s="145">
        <v>0</v>
      </c>
      <c r="I41" s="145">
        <v>16.5</v>
      </c>
      <c r="J41" s="145">
        <v>8.84</v>
      </c>
      <c r="K41" s="145">
        <v>0</v>
      </c>
      <c r="L41" s="145">
        <v>0</v>
      </c>
      <c r="M41" s="145">
        <v>0</v>
      </c>
      <c r="N41" s="145">
        <v>0</v>
      </c>
      <c r="O41" s="145">
        <v>0</v>
      </c>
    </row>
    <row r="42" spans="1:15">
      <c r="A42" s="155" t="s">
        <v>21</v>
      </c>
      <c r="B42" s="151" t="s">
        <v>66</v>
      </c>
      <c r="C42" s="132">
        <v>4.4299999999999999E-2</v>
      </c>
      <c r="D42" s="139" t="s">
        <v>83</v>
      </c>
      <c r="E42" s="134">
        <v>0.86</v>
      </c>
      <c r="F42" s="143">
        <v>14.39</v>
      </c>
      <c r="G42" s="144">
        <v>0</v>
      </c>
      <c r="H42" s="144">
        <v>0</v>
      </c>
      <c r="I42" s="144">
        <v>0</v>
      </c>
      <c r="J42" s="144">
        <v>0</v>
      </c>
      <c r="K42" s="144">
        <v>17.03</v>
      </c>
      <c r="L42" s="144">
        <v>0</v>
      </c>
      <c r="M42" s="144">
        <v>0</v>
      </c>
      <c r="N42" s="144">
        <v>0</v>
      </c>
      <c r="O42" s="144">
        <v>39.97</v>
      </c>
    </row>
    <row r="43" spans="1:15">
      <c r="A43" s="156"/>
      <c r="B43" s="152"/>
      <c r="C43" s="140">
        <v>4.4299999999999999E-2</v>
      </c>
      <c r="D43" s="136" t="s">
        <v>84</v>
      </c>
      <c r="E43" s="137">
        <v>0.83</v>
      </c>
      <c r="F43" s="138">
        <v>13.89</v>
      </c>
      <c r="G43" s="145">
        <v>0</v>
      </c>
      <c r="H43" s="145">
        <v>0</v>
      </c>
      <c r="I43" s="145">
        <v>0</v>
      </c>
      <c r="J43" s="145">
        <v>0</v>
      </c>
      <c r="K43" s="145">
        <v>0</v>
      </c>
      <c r="L43" s="145">
        <v>0</v>
      </c>
      <c r="M43" s="145">
        <v>14.34</v>
      </c>
      <c r="N43" s="145">
        <v>6.78</v>
      </c>
      <c r="O43" s="145">
        <v>38.58</v>
      </c>
    </row>
    <row r="44" spans="1:15">
      <c r="A44" s="156"/>
      <c r="B44" s="152"/>
      <c r="C44" s="140">
        <v>4.4299999999999999E-2</v>
      </c>
      <c r="D44" s="136" t="s">
        <v>85</v>
      </c>
      <c r="E44" s="137">
        <v>0.79</v>
      </c>
      <c r="F44" s="138">
        <v>13.22</v>
      </c>
      <c r="G44" s="145">
        <v>0</v>
      </c>
      <c r="H44" s="145">
        <v>0</v>
      </c>
      <c r="I44" s="145">
        <v>0</v>
      </c>
      <c r="J44" s="145">
        <v>0</v>
      </c>
      <c r="K44" s="145">
        <v>0</v>
      </c>
      <c r="L44" s="145">
        <v>0</v>
      </c>
      <c r="M44" s="145">
        <v>0</v>
      </c>
      <c r="N44" s="145">
        <v>0</v>
      </c>
      <c r="O44" s="145">
        <v>0</v>
      </c>
    </row>
    <row r="45" spans="1:15">
      <c r="A45" s="156"/>
      <c r="B45" s="152"/>
      <c r="C45" s="140">
        <v>4.4299999999999999E-2</v>
      </c>
      <c r="D45" s="136" t="s">
        <v>86</v>
      </c>
      <c r="E45" s="137">
        <v>0.63</v>
      </c>
      <c r="F45" s="138">
        <v>10.54</v>
      </c>
      <c r="G45" s="145">
        <v>0</v>
      </c>
      <c r="H45" s="145">
        <v>0</v>
      </c>
      <c r="I45" s="145">
        <v>0</v>
      </c>
      <c r="J45" s="145">
        <v>0</v>
      </c>
      <c r="K45" s="145">
        <v>12.48</v>
      </c>
      <c r="L45" s="145">
        <v>0</v>
      </c>
      <c r="M45" s="145">
        <v>0</v>
      </c>
      <c r="N45" s="145">
        <v>0</v>
      </c>
      <c r="O45" s="145">
        <v>29.28</v>
      </c>
    </row>
    <row r="46" spans="1:15">
      <c r="A46" s="157"/>
      <c r="B46" s="153"/>
      <c r="C46" s="140">
        <v>4.4299999999999999E-2</v>
      </c>
      <c r="D46" s="136" t="s">
        <v>87</v>
      </c>
      <c r="E46" s="137">
        <v>0.46</v>
      </c>
      <c r="F46" s="138">
        <v>0</v>
      </c>
      <c r="G46" s="145">
        <v>0</v>
      </c>
      <c r="H46" s="145">
        <v>0</v>
      </c>
      <c r="I46" s="145">
        <v>0</v>
      </c>
      <c r="J46" s="145">
        <v>0</v>
      </c>
      <c r="K46" s="145">
        <v>9.11</v>
      </c>
      <c r="L46" s="145">
        <v>0</v>
      </c>
      <c r="M46" s="145">
        <v>7.95</v>
      </c>
      <c r="N46" s="145">
        <v>3.76</v>
      </c>
      <c r="O46" s="145">
        <v>21.38</v>
      </c>
    </row>
    <row r="47" spans="1:15">
      <c r="A47" s="155" t="s">
        <v>24</v>
      </c>
      <c r="B47" s="151" t="s">
        <v>88</v>
      </c>
      <c r="C47" s="132">
        <v>3.2800000000000003E-2</v>
      </c>
      <c r="D47" s="139" t="s">
        <v>89</v>
      </c>
      <c r="E47" s="134">
        <v>0.86</v>
      </c>
      <c r="F47" s="143">
        <v>0</v>
      </c>
      <c r="G47" s="144">
        <v>0</v>
      </c>
      <c r="H47" s="144">
        <v>0</v>
      </c>
      <c r="I47" s="144">
        <v>14.93</v>
      </c>
      <c r="J47" s="144">
        <v>9.14</v>
      </c>
      <c r="K47" s="144">
        <v>0</v>
      </c>
      <c r="L47" s="144">
        <v>0</v>
      </c>
      <c r="M47" s="144">
        <v>0</v>
      </c>
      <c r="N47" s="144">
        <v>0</v>
      </c>
      <c r="O47" s="144">
        <v>0</v>
      </c>
    </row>
    <row r="48" spans="1:15">
      <c r="A48" s="156"/>
      <c r="B48" s="152"/>
      <c r="C48" s="140">
        <v>3.2800000000000003E-2</v>
      </c>
      <c r="D48" s="136" t="s">
        <v>90</v>
      </c>
      <c r="E48" s="137">
        <v>0.67</v>
      </c>
      <c r="F48" s="138">
        <v>0</v>
      </c>
      <c r="G48" s="145">
        <v>0</v>
      </c>
      <c r="H48" s="145">
        <v>0</v>
      </c>
      <c r="I48" s="145">
        <v>11.63</v>
      </c>
      <c r="J48" s="145">
        <v>7.12</v>
      </c>
      <c r="K48" s="145">
        <v>0</v>
      </c>
      <c r="L48" s="145">
        <v>0</v>
      </c>
      <c r="M48" s="145">
        <v>0</v>
      </c>
      <c r="N48" s="145">
        <v>0</v>
      </c>
      <c r="O48" s="145">
        <v>0</v>
      </c>
    </row>
    <row r="49" spans="1:15">
      <c r="A49" s="157"/>
      <c r="B49" s="153"/>
      <c r="C49" s="140">
        <v>3.2800000000000003E-2</v>
      </c>
      <c r="D49" s="136" t="s">
        <v>91</v>
      </c>
      <c r="E49" s="137">
        <v>0.5</v>
      </c>
      <c r="F49" s="138">
        <v>0</v>
      </c>
      <c r="G49" s="145">
        <v>0</v>
      </c>
      <c r="H49" s="145">
        <v>0</v>
      </c>
      <c r="I49" s="145">
        <v>8.68</v>
      </c>
      <c r="J49" s="145">
        <v>5.31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</row>
    <row r="50" spans="1:15">
      <c r="A50" s="155" t="s">
        <v>25</v>
      </c>
      <c r="B50" s="151" t="s">
        <v>88</v>
      </c>
      <c r="C50" s="132">
        <v>1.72E-2</v>
      </c>
      <c r="D50" s="139" t="s">
        <v>92</v>
      </c>
      <c r="E50" s="134">
        <v>0.7</v>
      </c>
      <c r="F50" s="143">
        <v>0</v>
      </c>
      <c r="G50" s="144">
        <v>0</v>
      </c>
      <c r="H50" s="144">
        <v>0</v>
      </c>
      <c r="I50" s="144">
        <v>0</v>
      </c>
      <c r="J50" s="144">
        <v>0</v>
      </c>
      <c r="K50" s="144">
        <v>0</v>
      </c>
      <c r="L50" s="144">
        <v>0</v>
      </c>
      <c r="M50" s="144">
        <v>0</v>
      </c>
      <c r="N50" s="144">
        <v>0</v>
      </c>
      <c r="O50" s="144">
        <v>0</v>
      </c>
    </row>
    <row r="51" spans="1:15">
      <c r="A51" s="156"/>
      <c r="B51" s="152"/>
      <c r="C51" s="140">
        <v>1.72E-2</v>
      </c>
      <c r="D51" s="136" t="s">
        <v>93</v>
      </c>
      <c r="E51" s="137">
        <v>0.66</v>
      </c>
      <c r="F51" s="138">
        <v>0</v>
      </c>
      <c r="G51" s="145">
        <v>0</v>
      </c>
      <c r="H51" s="145">
        <v>0</v>
      </c>
      <c r="I51" s="145">
        <v>0</v>
      </c>
      <c r="J51" s="145">
        <v>0.92</v>
      </c>
      <c r="K51" s="145">
        <v>0</v>
      </c>
      <c r="L51" s="145">
        <v>0</v>
      </c>
      <c r="M51" s="145">
        <v>0</v>
      </c>
      <c r="N51" s="145">
        <v>0</v>
      </c>
      <c r="O51" s="145">
        <v>2.8</v>
      </c>
    </row>
    <row r="52" spans="1:15">
      <c r="A52" s="156"/>
      <c r="B52" s="152"/>
      <c r="C52" s="140">
        <v>1.72E-2</v>
      </c>
      <c r="D52" s="136" t="s">
        <v>94</v>
      </c>
      <c r="E52" s="137">
        <v>0.57999999999999996</v>
      </c>
      <c r="F52" s="138">
        <v>0</v>
      </c>
      <c r="G52" s="145">
        <v>0</v>
      </c>
      <c r="H52" s="145">
        <v>0</v>
      </c>
      <c r="I52" s="145">
        <v>0</v>
      </c>
      <c r="J52" s="145">
        <v>0</v>
      </c>
      <c r="K52" s="145">
        <v>0</v>
      </c>
      <c r="L52" s="145">
        <v>0</v>
      </c>
      <c r="M52" s="145">
        <v>0</v>
      </c>
      <c r="N52" s="145">
        <v>0</v>
      </c>
      <c r="O52" s="145">
        <v>2.46</v>
      </c>
    </row>
    <row r="53" spans="1:15">
      <c r="A53" s="157"/>
      <c r="B53" s="153"/>
      <c r="C53" s="140">
        <v>1.72E-2</v>
      </c>
      <c r="D53" s="136" t="s">
        <v>95</v>
      </c>
      <c r="E53" s="137">
        <v>0.54</v>
      </c>
      <c r="F53" s="138">
        <v>0</v>
      </c>
      <c r="G53" s="145">
        <v>0</v>
      </c>
      <c r="H53" s="145">
        <v>0</v>
      </c>
      <c r="I53" s="145">
        <v>0</v>
      </c>
      <c r="J53" s="145">
        <v>0</v>
      </c>
      <c r="K53" s="145">
        <v>0</v>
      </c>
      <c r="L53" s="145">
        <v>0</v>
      </c>
      <c r="M53" s="145">
        <v>0</v>
      </c>
      <c r="N53" s="145">
        <v>0</v>
      </c>
      <c r="O53" s="145">
        <v>2.29</v>
      </c>
    </row>
    <row r="54" spans="1:15">
      <c r="A54" s="155" t="s">
        <v>28</v>
      </c>
      <c r="B54" s="151" t="s">
        <v>41</v>
      </c>
      <c r="C54" s="132">
        <v>5.9400000000000001E-2</v>
      </c>
      <c r="D54" s="146" t="s">
        <v>96</v>
      </c>
      <c r="E54" s="134">
        <v>0.92</v>
      </c>
      <c r="F54" s="143">
        <v>20.65</v>
      </c>
      <c r="G54" s="144">
        <v>0</v>
      </c>
      <c r="H54" s="144">
        <v>0</v>
      </c>
      <c r="I54" s="144">
        <v>0</v>
      </c>
      <c r="J54" s="144">
        <v>0</v>
      </c>
      <c r="K54" s="144">
        <v>0</v>
      </c>
      <c r="L54" s="144">
        <v>42.26</v>
      </c>
      <c r="M54" s="144">
        <v>45.7</v>
      </c>
      <c r="N54" s="144">
        <v>65.599999999999994</v>
      </c>
      <c r="O54" s="144">
        <v>0</v>
      </c>
    </row>
    <row r="55" spans="1:15">
      <c r="A55" s="156"/>
      <c r="B55" s="152"/>
      <c r="C55" s="140">
        <v>5.9400000000000001E-2</v>
      </c>
      <c r="D55" s="147" t="s">
        <v>97</v>
      </c>
      <c r="E55" s="137">
        <v>0.87</v>
      </c>
      <c r="F55" s="138">
        <v>19.53</v>
      </c>
      <c r="G55" s="145">
        <v>0</v>
      </c>
      <c r="H55" s="145">
        <v>0</v>
      </c>
      <c r="I55" s="145">
        <v>0</v>
      </c>
      <c r="J55" s="145">
        <v>0</v>
      </c>
      <c r="K55" s="145">
        <v>55.46</v>
      </c>
      <c r="L55" s="145">
        <v>0</v>
      </c>
      <c r="M55" s="145">
        <v>0</v>
      </c>
      <c r="N55" s="145">
        <v>62.04</v>
      </c>
      <c r="O55" s="145">
        <v>0</v>
      </c>
    </row>
    <row r="56" spans="1:15">
      <c r="A56" s="156"/>
      <c r="B56" s="152"/>
      <c r="C56" s="140">
        <v>5.9400000000000001E-2</v>
      </c>
      <c r="D56" s="147" t="s">
        <v>98</v>
      </c>
      <c r="E56" s="137">
        <v>0.83</v>
      </c>
      <c r="F56" s="138">
        <v>0</v>
      </c>
      <c r="G56" s="145">
        <v>0</v>
      </c>
      <c r="H56" s="145">
        <v>0</v>
      </c>
      <c r="I56" s="145">
        <v>0</v>
      </c>
      <c r="J56" s="145">
        <v>51.8</v>
      </c>
      <c r="K56" s="145">
        <v>0</v>
      </c>
      <c r="L56" s="145">
        <v>38.130000000000003</v>
      </c>
      <c r="M56" s="145">
        <v>41.23</v>
      </c>
      <c r="N56" s="145">
        <v>59.18</v>
      </c>
      <c r="O56" s="145">
        <v>0</v>
      </c>
    </row>
    <row r="57" spans="1:15">
      <c r="A57" s="156"/>
      <c r="B57" s="152"/>
      <c r="C57" s="140">
        <v>5.9400000000000001E-2</v>
      </c>
      <c r="D57" s="147" t="s">
        <v>99</v>
      </c>
      <c r="E57" s="137">
        <v>0.79</v>
      </c>
      <c r="F57" s="138">
        <v>0</v>
      </c>
      <c r="G57" s="145">
        <v>45.91</v>
      </c>
      <c r="H57" s="145">
        <v>0</v>
      </c>
      <c r="I57" s="145">
        <v>0</v>
      </c>
      <c r="J57" s="145">
        <v>0</v>
      </c>
      <c r="K57" s="145">
        <v>0</v>
      </c>
      <c r="L57" s="145">
        <v>0</v>
      </c>
      <c r="M57" s="145">
        <v>0</v>
      </c>
      <c r="N57" s="145">
        <v>56.33</v>
      </c>
      <c r="O57" s="145">
        <v>0</v>
      </c>
    </row>
    <row r="58" spans="1:15">
      <c r="A58" s="156"/>
      <c r="B58" s="152"/>
      <c r="C58" s="140">
        <v>5.9400000000000001E-2</v>
      </c>
      <c r="D58" s="147" t="s">
        <v>100</v>
      </c>
      <c r="E58" s="137">
        <v>0.76</v>
      </c>
      <c r="F58" s="138">
        <v>0</v>
      </c>
      <c r="G58" s="145">
        <v>44.16</v>
      </c>
      <c r="H58" s="145">
        <v>0</v>
      </c>
      <c r="I58" s="145">
        <v>0</v>
      </c>
      <c r="J58" s="145">
        <v>47.43</v>
      </c>
      <c r="K58" s="145">
        <v>0</v>
      </c>
      <c r="L58" s="145">
        <v>34.909999999999997</v>
      </c>
      <c r="M58" s="145">
        <v>37.75</v>
      </c>
      <c r="N58" s="145">
        <v>54.19</v>
      </c>
      <c r="O58" s="145">
        <v>0</v>
      </c>
    </row>
    <row r="59" spans="1:15">
      <c r="A59" s="156"/>
      <c r="B59" s="152"/>
      <c r="C59" s="140">
        <v>5.9400000000000001E-2</v>
      </c>
      <c r="D59" s="147" t="s">
        <v>101</v>
      </c>
      <c r="E59" s="137">
        <v>0.67</v>
      </c>
      <c r="F59" s="138">
        <v>0</v>
      </c>
      <c r="G59" s="145">
        <v>0</v>
      </c>
      <c r="H59" s="145">
        <v>0</v>
      </c>
      <c r="I59" s="145">
        <v>0</v>
      </c>
      <c r="J59" s="145">
        <v>0</v>
      </c>
      <c r="K59" s="145">
        <v>0</v>
      </c>
      <c r="L59" s="145">
        <v>0</v>
      </c>
      <c r="M59" s="145">
        <v>0</v>
      </c>
      <c r="N59" s="145">
        <v>47.78</v>
      </c>
      <c r="O59" s="145">
        <v>0</v>
      </c>
    </row>
    <row r="60" spans="1:15">
      <c r="A60" s="157"/>
      <c r="B60" s="153"/>
      <c r="C60" s="140">
        <v>5.9400000000000001E-2</v>
      </c>
      <c r="D60" s="147" t="s">
        <v>102</v>
      </c>
      <c r="E60" s="137">
        <v>0.56000000000000005</v>
      </c>
      <c r="F60" s="138">
        <v>0</v>
      </c>
      <c r="G60" s="145">
        <v>0</v>
      </c>
      <c r="H60" s="145">
        <v>0</v>
      </c>
      <c r="I60" s="145">
        <v>0</v>
      </c>
      <c r="J60" s="145">
        <v>0</v>
      </c>
      <c r="K60" s="145">
        <v>0</v>
      </c>
      <c r="L60" s="145">
        <v>0</v>
      </c>
      <c r="M60" s="145">
        <v>0</v>
      </c>
      <c r="N60" s="145">
        <v>39.93</v>
      </c>
      <c r="O60" s="145">
        <v>0</v>
      </c>
    </row>
    <row r="61" spans="1:15">
      <c r="A61" s="155" t="s">
        <v>26</v>
      </c>
      <c r="B61" s="151" t="s">
        <v>41</v>
      </c>
      <c r="C61" s="132">
        <v>7.3400000000000007E-2</v>
      </c>
      <c r="D61" s="146" t="s">
        <v>103</v>
      </c>
      <c r="E61" s="134">
        <v>0.86</v>
      </c>
      <c r="F61" s="143">
        <v>0</v>
      </c>
      <c r="G61" s="144">
        <v>0</v>
      </c>
      <c r="H61" s="144">
        <v>0</v>
      </c>
      <c r="I61" s="144">
        <v>0</v>
      </c>
      <c r="J61" s="144">
        <v>25.6</v>
      </c>
      <c r="K61" s="144">
        <v>0</v>
      </c>
      <c r="L61" s="144">
        <v>32.21</v>
      </c>
      <c r="M61" s="144">
        <v>84.43</v>
      </c>
      <c r="N61" s="144">
        <v>0</v>
      </c>
      <c r="O61" s="144">
        <v>0</v>
      </c>
    </row>
    <row r="62" spans="1:15">
      <c r="A62" s="156"/>
      <c r="B62" s="152"/>
      <c r="C62" s="140">
        <v>7.3400000000000007E-2</v>
      </c>
      <c r="D62" s="147" t="s">
        <v>104</v>
      </c>
      <c r="E62" s="137">
        <v>0.83</v>
      </c>
      <c r="F62" s="138">
        <v>0</v>
      </c>
      <c r="G62" s="145">
        <v>0</v>
      </c>
      <c r="H62" s="145">
        <v>0</v>
      </c>
      <c r="I62" s="145">
        <v>0</v>
      </c>
      <c r="J62" s="145">
        <v>24.71</v>
      </c>
      <c r="K62" s="145">
        <v>0</v>
      </c>
      <c r="L62" s="145">
        <v>0</v>
      </c>
      <c r="M62" s="145">
        <v>81.48</v>
      </c>
      <c r="N62" s="145">
        <v>25.26</v>
      </c>
      <c r="O62" s="145">
        <v>0</v>
      </c>
    </row>
    <row r="63" spans="1:15">
      <c r="A63" s="156"/>
      <c r="B63" s="152"/>
      <c r="C63" s="140">
        <v>7.3400000000000007E-2</v>
      </c>
      <c r="D63" s="147" t="s">
        <v>105</v>
      </c>
      <c r="E63" s="137">
        <v>0.79</v>
      </c>
      <c r="F63" s="138">
        <v>0</v>
      </c>
      <c r="G63" s="145">
        <v>0</v>
      </c>
      <c r="H63" s="145">
        <v>0</v>
      </c>
      <c r="I63" s="145">
        <v>0</v>
      </c>
      <c r="J63" s="145">
        <v>0</v>
      </c>
      <c r="K63" s="145">
        <v>0</v>
      </c>
      <c r="L63" s="145">
        <v>29.59</v>
      </c>
      <c r="M63" s="145">
        <v>77.55</v>
      </c>
      <c r="N63" s="145">
        <v>24.04</v>
      </c>
      <c r="O63" s="145">
        <v>0</v>
      </c>
    </row>
    <row r="64" spans="1:15">
      <c r="A64" s="156"/>
      <c r="B64" s="152"/>
      <c r="C64" s="140">
        <v>7.3400000000000007E-2</v>
      </c>
      <c r="D64" s="147" t="s">
        <v>106</v>
      </c>
      <c r="E64" s="137">
        <v>0.74</v>
      </c>
      <c r="F64" s="138">
        <v>0</v>
      </c>
      <c r="G64" s="145">
        <v>0</v>
      </c>
      <c r="H64" s="145">
        <v>0</v>
      </c>
      <c r="I64" s="145">
        <v>0</v>
      </c>
      <c r="J64" s="145">
        <v>22.03</v>
      </c>
      <c r="K64" s="145">
        <v>0</v>
      </c>
      <c r="L64" s="145">
        <v>27.71</v>
      </c>
      <c r="M64" s="145">
        <v>72.650000000000006</v>
      </c>
      <c r="N64" s="145">
        <v>0</v>
      </c>
      <c r="O64" s="145">
        <v>0</v>
      </c>
    </row>
    <row r="65" spans="1:15">
      <c r="A65" s="157"/>
      <c r="B65" s="153"/>
      <c r="C65" s="140">
        <v>7.3400000000000007E-2</v>
      </c>
      <c r="D65" s="147" t="s">
        <v>107</v>
      </c>
      <c r="E65" s="137">
        <v>0.73</v>
      </c>
      <c r="F65" s="138">
        <v>0</v>
      </c>
      <c r="G65" s="145">
        <v>0</v>
      </c>
      <c r="H65" s="145">
        <v>0</v>
      </c>
      <c r="I65" s="145">
        <v>0</v>
      </c>
      <c r="J65" s="145">
        <v>21.73</v>
      </c>
      <c r="K65" s="145">
        <v>0</v>
      </c>
      <c r="L65" s="145">
        <v>27.34</v>
      </c>
      <c r="M65" s="145">
        <v>71.66</v>
      </c>
      <c r="N65" s="145">
        <v>0</v>
      </c>
      <c r="O65" s="145">
        <v>0</v>
      </c>
    </row>
    <row r="66" spans="1:15">
      <c r="A66" s="155" t="s">
        <v>32</v>
      </c>
      <c r="B66" s="151" t="s">
        <v>41</v>
      </c>
      <c r="C66" s="132">
        <v>6.6600000000000006E-2</v>
      </c>
      <c r="D66" s="146" t="s">
        <v>108</v>
      </c>
      <c r="E66" s="134">
        <v>0.85</v>
      </c>
      <c r="F66" s="143">
        <v>0</v>
      </c>
      <c r="G66" s="144">
        <v>0</v>
      </c>
      <c r="H66" s="144">
        <v>0</v>
      </c>
      <c r="I66" s="144">
        <v>0</v>
      </c>
      <c r="J66" s="144">
        <v>0</v>
      </c>
      <c r="K66" s="144">
        <v>59.02</v>
      </c>
      <c r="L66" s="144">
        <v>0</v>
      </c>
      <c r="M66" s="144">
        <v>0</v>
      </c>
      <c r="N66" s="144">
        <v>0</v>
      </c>
      <c r="O66" s="144">
        <v>106.01</v>
      </c>
    </row>
    <row r="67" spans="1:15">
      <c r="A67" s="156"/>
      <c r="B67" s="152"/>
      <c r="C67" s="140">
        <v>6.6600000000000006E-2</v>
      </c>
      <c r="D67" s="147" t="s">
        <v>109</v>
      </c>
      <c r="E67" s="137">
        <v>0.84</v>
      </c>
      <c r="F67" s="138">
        <v>0</v>
      </c>
      <c r="G67" s="145">
        <v>0</v>
      </c>
      <c r="H67" s="145">
        <v>17.899999999999999</v>
      </c>
      <c r="I67" s="145">
        <v>0</v>
      </c>
      <c r="J67" s="145">
        <v>0</v>
      </c>
      <c r="K67" s="145">
        <v>58.33</v>
      </c>
      <c r="L67" s="145">
        <v>0</v>
      </c>
      <c r="M67" s="145">
        <v>0</v>
      </c>
      <c r="N67" s="145">
        <v>0</v>
      </c>
      <c r="O67" s="145">
        <v>0</v>
      </c>
    </row>
    <row r="68" spans="1:15">
      <c r="A68" s="156"/>
      <c r="B68" s="152"/>
      <c r="C68" s="140">
        <v>6.6600000000000006E-2</v>
      </c>
      <c r="D68" s="147" t="s">
        <v>110</v>
      </c>
      <c r="E68" s="137">
        <v>0.82</v>
      </c>
      <c r="F68" s="138">
        <v>41.25</v>
      </c>
      <c r="G68" s="145">
        <v>0</v>
      </c>
      <c r="H68" s="145">
        <v>0</v>
      </c>
      <c r="I68" s="145">
        <v>0</v>
      </c>
      <c r="J68" s="145">
        <v>0</v>
      </c>
      <c r="K68" s="145">
        <v>56.94</v>
      </c>
      <c r="L68" s="145">
        <v>0</v>
      </c>
      <c r="M68" s="145">
        <v>0</v>
      </c>
      <c r="N68" s="145">
        <v>0</v>
      </c>
      <c r="O68" s="145">
        <v>102.27</v>
      </c>
    </row>
    <row r="69" spans="1:15">
      <c r="A69" s="157"/>
      <c r="B69" s="153"/>
      <c r="C69" s="140">
        <v>6.6600000000000006E-2</v>
      </c>
      <c r="D69" s="147" t="s">
        <v>111</v>
      </c>
      <c r="E69" s="137">
        <v>0.75</v>
      </c>
      <c r="F69" s="138">
        <v>37.729999999999997</v>
      </c>
      <c r="G69" s="145">
        <v>0</v>
      </c>
      <c r="H69" s="145">
        <v>0</v>
      </c>
      <c r="I69" s="145">
        <v>0</v>
      </c>
      <c r="J69" s="145">
        <v>0</v>
      </c>
      <c r="K69" s="145">
        <v>52.08</v>
      </c>
      <c r="L69" s="145">
        <v>0</v>
      </c>
      <c r="M69" s="145">
        <v>0</v>
      </c>
      <c r="N69" s="145">
        <v>0</v>
      </c>
      <c r="O69" s="145">
        <v>93.54</v>
      </c>
    </row>
    <row r="70" spans="1:15">
      <c r="A70" s="155" t="s">
        <v>35</v>
      </c>
      <c r="B70" s="151" t="s">
        <v>66</v>
      </c>
      <c r="C70" s="132">
        <v>6.7199999999999996E-2</v>
      </c>
      <c r="D70" s="146" t="s">
        <v>69</v>
      </c>
      <c r="E70" s="134">
        <v>0.86</v>
      </c>
      <c r="F70" s="143">
        <v>52.36</v>
      </c>
      <c r="G70" s="144">
        <v>30.12</v>
      </c>
      <c r="H70" s="144">
        <v>83.15</v>
      </c>
      <c r="I70" s="144">
        <v>0</v>
      </c>
      <c r="J70" s="144">
        <v>0</v>
      </c>
      <c r="K70" s="144">
        <v>38.72</v>
      </c>
      <c r="L70" s="144">
        <v>8.93</v>
      </c>
      <c r="M70" s="144">
        <v>0</v>
      </c>
      <c r="N70" s="144">
        <v>0</v>
      </c>
      <c r="O70" s="144">
        <v>0</v>
      </c>
    </row>
    <row r="71" spans="1:15">
      <c r="A71" s="156"/>
      <c r="B71" s="152"/>
      <c r="C71" s="140">
        <v>6.7199999999999996E-2</v>
      </c>
      <c r="D71" s="147" t="s">
        <v>70</v>
      </c>
      <c r="E71" s="137">
        <v>0.84</v>
      </c>
      <c r="F71" s="138">
        <v>51.14</v>
      </c>
      <c r="G71" s="145">
        <v>0</v>
      </c>
      <c r="H71" s="145">
        <v>81.22</v>
      </c>
      <c r="I71" s="145">
        <v>0</v>
      </c>
      <c r="J71" s="145">
        <v>0</v>
      </c>
      <c r="K71" s="145">
        <v>0</v>
      </c>
      <c r="L71" s="145">
        <v>0</v>
      </c>
      <c r="M71" s="145">
        <v>0</v>
      </c>
      <c r="N71" s="145">
        <v>0</v>
      </c>
      <c r="O71" s="145">
        <v>41.59</v>
      </c>
    </row>
    <row r="72" spans="1:15">
      <c r="A72" s="156"/>
      <c r="B72" s="152"/>
      <c r="C72" s="140">
        <v>6.7199999999999996E-2</v>
      </c>
      <c r="D72" s="147" t="s">
        <v>75</v>
      </c>
      <c r="E72" s="137">
        <v>0.77</v>
      </c>
      <c r="F72" s="138">
        <v>45.66</v>
      </c>
      <c r="G72" s="145">
        <v>26.26</v>
      </c>
      <c r="H72" s="145">
        <v>72.52</v>
      </c>
      <c r="I72" s="145">
        <v>0</v>
      </c>
      <c r="J72" s="145">
        <v>0</v>
      </c>
      <c r="K72" s="145">
        <v>33.76</v>
      </c>
      <c r="L72" s="145">
        <v>0</v>
      </c>
      <c r="M72" s="145">
        <v>0</v>
      </c>
      <c r="N72" s="145">
        <v>0</v>
      </c>
      <c r="O72" s="145">
        <v>0</v>
      </c>
    </row>
    <row r="73" spans="1:15">
      <c r="A73" s="156"/>
      <c r="B73" s="152"/>
      <c r="C73" s="140">
        <v>6.7199999999999996E-2</v>
      </c>
      <c r="D73" s="147" t="s">
        <v>72</v>
      </c>
      <c r="E73" s="137">
        <v>0.75</v>
      </c>
      <c r="F73" s="138">
        <v>38.35</v>
      </c>
      <c r="G73" s="145">
        <v>22.06</v>
      </c>
      <c r="H73" s="145">
        <v>60.91</v>
      </c>
      <c r="I73" s="145">
        <v>0</v>
      </c>
      <c r="J73" s="145">
        <v>0</v>
      </c>
      <c r="K73" s="145">
        <v>28.36</v>
      </c>
      <c r="L73" s="145">
        <v>6.54</v>
      </c>
      <c r="M73" s="145">
        <v>0</v>
      </c>
      <c r="N73" s="145">
        <v>0</v>
      </c>
      <c r="O73" s="145">
        <v>0</v>
      </c>
    </row>
    <row r="74" spans="1:15">
      <c r="A74" s="156"/>
      <c r="B74" s="152"/>
      <c r="C74" s="140">
        <v>6.7199999999999996E-2</v>
      </c>
      <c r="D74" s="147" t="s">
        <v>73</v>
      </c>
      <c r="E74" s="137">
        <v>0.63</v>
      </c>
      <c r="F74" s="138">
        <v>0</v>
      </c>
      <c r="G74" s="145">
        <v>0</v>
      </c>
      <c r="H74" s="145">
        <v>58.01</v>
      </c>
      <c r="I74" s="145">
        <v>0</v>
      </c>
      <c r="J74" s="145">
        <v>0</v>
      </c>
      <c r="K74" s="145">
        <v>0</v>
      </c>
      <c r="L74" s="145">
        <v>6.23</v>
      </c>
      <c r="M74" s="145">
        <v>0</v>
      </c>
      <c r="N74" s="145">
        <v>0</v>
      </c>
      <c r="O74" s="145">
        <v>0</v>
      </c>
    </row>
    <row r="75" spans="1:15">
      <c r="A75" s="156"/>
      <c r="B75" s="152"/>
      <c r="C75" s="140">
        <v>6.7199999999999996E-2</v>
      </c>
      <c r="D75" s="147" t="s">
        <v>74</v>
      </c>
      <c r="E75" s="137">
        <v>0.6</v>
      </c>
      <c r="F75" s="138">
        <v>0</v>
      </c>
      <c r="G75" s="145">
        <v>26.96</v>
      </c>
      <c r="H75" s="145">
        <v>74.45</v>
      </c>
      <c r="I75" s="145">
        <v>0</v>
      </c>
      <c r="J75" s="145">
        <v>0</v>
      </c>
      <c r="K75" s="145">
        <v>0</v>
      </c>
      <c r="L75" s="145">
        <v>0</v>
      </c>
      <c r="M75" s="145">
        <v>0</v>
      </c>
      <c r="N75" s="145">
        <v>0</v>
      </c>
      <c r="O75" s="145">
        <v>0</v>
      </c>
    </row>
    <row r="76" spans="1:15">
      <c r="A76" s="157"/>
      <c r="B76" s="153"/>
      <c r="C76" s="140">
        <v>6.7199999999999996E-2</v>
      </c>
      <c r="D76" s="147" t="s">
        <v>76</v>
      </c>
      <c r="E76" s="137">
        <v>0.4</v>
      </c>
      <c r="F76" s="138">
        <v>0</v>
      </c>
      <c r="G76" s="145">
        <v>14.01</v>
      </c>
      <c r="H76" s="145">
        <v>38.68</v>
      </c>
      <c r="I76" s="145">
        <v>0</v>
      </c>
      <c r="J76" s="145">
        <v>0</v>
      </c>
      <c r="K76" s="145">
        <v>0</v>
      </c>
      <c r="L76" s="145">
        <v>0</v>
      </c>
      <c r="M76" s="145">
        <v>0</v>
      </c>
      <c r="N76" s="145">
        <v>0</v>
      </c>
      <c r="O76" s="145">
        <v>0</v>
      </c>
    </row>
    <row r="77" spans="1:15">
      <c r="A77" s="155" t="s">
        <v>31</v>
      </c>
      <c r="B77" s="151" t="s">
        <v>88</v>
      </c>
      <c r="C77" s="132">
        <v>3.9800000000000002E-2</v>
      </c>
      <c r="D77" s="146" t="s">
        <v>112</v>
      </c>
      <c r="E77" s="134">
        <v>0.82</v>
      </c>
      <c r="F77" s="143">
        <v>34.549999999999997</v>
      </c>
      <c r="G77" s="144">
        <v>17.03</v>
      </c>
      <c r="H77" s="144">
        <v>0</v>
      </c>
      <c r="I77" s="144">
        <v>0</v>
      </c>
      <c r="J77" s="144">
        <v>0</v>
      </c>
      <c r="K77" s="144">
        <v>26.77</v>
      </c>
      <c r="L77" s="144">
        <v>0</v>
      </c>
      <c r="M77" s="144">
        <v>0</v>
      </c>
      <c r="N77" s="144">
        <v>0</v>
      </c>
      <c r="O77" s="144">
        <v>0</v>
      </c>
    </row>
    <row r="78" spans="1:15">
      <c r="A78" s="156"/>
      <c r="B78" s="152"/>
      <c r="C78" s="140">
        <v>3.9800000000000002E-2</v>
      </c>
      <c r="D78" s="147" t="s">
        <v>113</v>
      </c>
      <c r="E78" s="137">
        <v>0.81</v>
      </c>
      <c r="F78" s="138">
        <v>34.130000000000003</v>
      </c>
      <c r="G78" s="145">
        <v>16.829999999999998</v>
      </c>
      <c r="H78" s="145">
        <v>0</v>
      </c>
      <c r="I78" s="145">
        <v>0</v>
      </c>
      <c r="J78" s="145">
        <v>0</v>
      </c>
      <c r="K78" s="145">
        <v>26.44</v>
      </c>
      <c r="L78" s="145">
        <v>0</v>
      </c>
      <c r="M78" s="145">
        <v>0</v>
      </c>
      <c r="N78" s="145">
        <v>0</v>
      </c>
      <c r="O78" s="145">
        <v>19.829999999999998</v>
      </c>
    </row>
    <row r="79" spans="1:15">
      <c r="A79" s="156"/>
      <c r="B79" s="152"/>
      <c r="C79" s="140">
        <v>3.9800000000000002E-2</v>
      </c>
      <c r="D79" s="147" t="s">
        <v>114</v>
      </c>
      <c r="E79" s="137">
        <v>0.75</v>
      </c>
      <c r="F79" s="138">
        <v>0</v>
      </c>
      <c r="G79" s="145">
        <v>15.58</v>
      </c>
      <c r="H79" s="145">
        <v>0</v>
      </c>
      <c r="I79" s="145">
        <v>0</v>
      </c>
      <c r="J79" s="145">
        <v>0</v>
      </c>
      <c r="K79" s="145">
        <v>0</v>
      </c>
      <c r="L79" s="145">
        <v>0</v>
      </c>
      <c r="M79" s="145">
        <v>0</v>
      </c>
      <c r="N79" s="145">
        <v>0</v>
      </c>
      <c r="O79" s="145">
        <v>0</v>
      </c>
    </row>
    <row r="80" spans="1:15">
      <c r="A80" s="156"/>
      <c r="B80" s="152"/>
      <c r="C80" s="140">
        <v>3.9800000000000002E-2</v>
      </c>
      <c r="D80" s="147" t="s">
        <v>115</v>
      </c>
      <c r="E80" s="137">
        <v>0.74</v>
      </c>
      <c r="F80" s="138">
        <v>0</v>
      </c>
      <c r="G80" s="145">
        <v>15.37</v>
      </c>
      <c r="H80" s="145">
        <v>0</v>
      </c>
      <c r="I80" s="145">
        <v>0</v>
      </c>
      <c r="J80" s="145">
        <v>0</v>
      </c>
      <c r="K80" s="145">
        <v>0</v>
      </c>
      <c r="L80" s="145">
        <v>0</v>
      </c>
      <c r="M80" s="145">
        <v>0</v>
      </c>
      <c r="N80" s="145">
        <v>0</v>
      </c>
      <c r="O80" s="145">
        <v>0</v>
      </c>
    </row>
    <row r="81" spans="1:15">
      <c r="A81" s="157"/>
      <c r="B81" s="153"/>
      <c r="C81" s="140">
        <v>3.9800000000000002E-2</v>
      </c>
      <c r="D81" s="147" t="s">
        <v>116</v>
      </c>
      <c r="E81" s="137">
        <v>0.72</v>
      </c>
      <c r="F81" s="138">
        <v>30.34</v>
      </c>
      <c r="G81" s="145">
        <v>14.96</v>
      </c>
      <c r="H81" s="145">
        <v>0</v>
      </c>
      <c r="I81" s="145">
        <v>0</v>
      </c>
      <c r="J81" s="145">
        <v>0</v>
      </c>
      <c r="K81" s="145">
        <v>23.5</v>
      </c>
      <c r="L81" s="145">
        <v>0</v>
      </c>
      <c r="M81" s="145">
        <v>0</v>
      </c>
      <c r="N81" s="145">
        <v>0</v>
      </c>
      <c r="O81" s="145">
        <v>0</v>
      </c>
    </row>
    <row r="82" spans="1:15">
      <c r="A82" s="155" t="s">
        <v>27</v>
      </c>
      <c r="B82" s="151" t="s">
        <v>66</v>
      </c>
      <c r="C82" s="132">
        <v>6.0699999999999997E-2</v>
      </c>
      <c r="D82" s="146" t="s">
        <v>117</v>
      </c>
      <c r="E82" s="134">
        <v>0.95</v>
      </c>
      <c r="F82" s="143">
        <v>34.82</v>
      </c>
      <c r="G82" s="144">
        <v>33.14</v>
      </c>
      <c r="H82" s="144">
        <v>14.75</v>
      </c>
      <c r="I82" s="144">
        <v>0</v>
      </c>
      <c r="J82" s="144">
        <v>0</v>
      </c>
      <c r="K82" s="144">
        <v>38.72</v>
      </c>
      <c r="L82" s="144">
        <v>0</v>
      </c>
      <c r="M82" s="144">
        <v>0</v>
      </c>
      <c r="N82" s="144">
        <v>0</v>
      </c>
      <c r="O82" s="144">
        <v>92.04</v>
      </c>
    </row>
    <row r="83" spans="1:15">
      <c r="A83" s="156"/>
      <c r="B83" s="152"/>
      <c r="C83" s="140">
        <v>6.0699999999999997E-2</v>
      </c>
      <c r="D83" s="147" t="s">
        <v>118</v>
      </c>
      <c r="E83" s="137">
        <v>0.9</v>
      </c>
      <c r="F83" s="138">
        <v>0</v>
      </c>
      <c r="G83" s="145">
        <v>0</v>
      </c>
      <c r="H83" s="145">
        <v>0</v>
      </c>
      <c r="I83" s="145">
        <v>0</v>
      </c>
      <c r="J83" s="145">
        <v>0</v>
      </c>
      <c r="K83" s="145">
        <v>0</v>
      </c>
      <c r="L83" s="145">
        <v>0</v>
      </c>
      <c r="M83" s="145">
        <v>0</v>
      </c>
      <c r="N83" s="145">
        <v>0</v>
      </c>
      <c r="O83" s="145">
        <v>87.2</v>
      </c>
    </row>
    <row r="84" spans="1:15">
      <c r="A84" s="157"/>
      <c r="B84" s="153"/>
      <c r="C84" s="140">
        <v>6.0699999999999997E-2</v>
      </c>
      <c r="D84" s="147" t="s">
        <v>119</v>
      </c>
      <c r="E84" s="137">
        <v>0.84</v>
      </c>
      <c r="F84" s="138">
        <v>0</v>
      </c>
      <c r="G84" s="145">
        <v>0</v>
      </c>
      <c r="H84" s="145">
        <v>0</v>
      </c>
      <c r="I84" s="145">
        <v>0</v>
      </c>
      <c r="J84" s="145">
        <v>0</v>
      </c>
      <c r="K84" s="145">
        <v>0</v>
      </c>
      <c r="L84" s="145">
        <v>0</v>
      </c>
      <c r="M84" s="145">
        <v>0</v>
      </c>
      <c r="N84" s="145">
        <v>0</v>
      </c>
      <c r="O84" s="145">
        <v>81.38</v>
      </c>
    </row>
    <row r="85" spans="1:15">
      <c r="A85" s="155" t="s">
        <v>34</v>
      </c>
      <c r="B85" s="151" t="s">
        <v>88</v>
      </c>
      <c r="C85" s="132">
        <v>4.3400000000000001E-2</v>
      </c>
      <c r="D85" s="146" t="s">
        <v>120</v>
      </c>
      <c r="E85" s="134">
        <v>0.84</v>
      </c>
      <c r="F85" s="143">
        <v>0</v>
      </c>
      <c r="G85" s="144">
        <v>0</v>
      </c>
      <c r="H85" s="144">
        <v>0</v>
      </c>
      <c r="I85" s="144">
        <v>0</v>
      </c>
      <c r="J85" s="144">
        <v>0</v>
      </c>
      <c r="K85" s="144">
        <v>0</v>
      </c>
      <c r="L85" s="144">
        <v>0</v>
      </c>
      <c r="M85" s="144">
        <v>0</v>
      </c>
      <c r="N85" s="144">
        <v>0</v>
      </c>
      <c r="O85" s="144">
        <v>48.4</v>
      </c>
    </row>
    <row r="86" spans="1:15">
      <c r="A86" s="156"/>
      <c r="B86" s="152"/>
      <c r="C86" s="140">
        <v>4.3400000000000001E-2</v>
      </c>
      <c r="D86" s="147" t="s">
        <v>121</v>
      </c>
      <c r="E86" s="137">
        <v>0.74</v>
      </c>
      <c r="F86" s="138">
        <v>0</v>
      </c>
      <c r="G86" s="145">
        <v>0</v>
      </c>
      <c r="H86" s="145">
        <v>0</v>
      </c>
      <c r="I86" s="145">
        <v>0</v>
      </c>
      <c r="J86" s="145">
        <v>0</v>
      </c>
      <c r="K86" s="145">
        <v>0</v>
      </c>
      <c r="L86" s="145">
        <v>0</v>
      </c>
      <c r="M86" s="145">
        <v>0</v>
      </c>
      <c r="N86" s="145">
        <v>0</v>
      </c>
      <c r="O86" s="145">
        <v>0</v>
      </c>
    </row>
    <row r="87" spans="1:15">
      <c r="A87" s="156"/>
      <c r="B87" s="152"/>
      <c r="C87" s="140">
        <v>4.3400000000000001E-2</v>
      </c>
      <c r="D87" s="147" t="s">
        <v>122</v>
      </c>
      <c r="E87" s="137">
        <v>0.74</v>
      </c>
      <c r="F87" s="138">
        <v>0</v>
      </c>
      <c r="G87" s="145">
        <v>0</v>
      </c>
      <c r="H87" s="145">
        <v>0</v>
      </c>
      <c r="I87" s="145">
        <v>6.81</v>
      </c>
      <c r="J87" s="145">
        <v>0</v>
      </c>
      <c r="K87" s="145">
        <v>0</v>
      </c>
      <c r="L87" s="145">
        <v>0</v>
      </c>
      <c r="M87" s="145">
        <v>0</v>
      </c>
      <c r="N87" s="145">
        <v>0</v>
      </c>
      <c r="O87" s="145">
        <v>42.63</v>
      </c>
    </row>
    <row r="88" spans="1:15">
      <c r="A88" s="156"/>
      <c r="B88" s="152"/>
      <c r="C88" s="140">
        <v>4.3400000000000001E-2</v>
      </c>
      <c r="D88" s="147" t="s">
        <v>123</v>
      </c>
      <c r="E88" s="137">
        <v>0.72</v>
      </c>
      <c r="F88" s="138">
        <v>0</v>
      </c>
      <c r="G88" s="145">
        <v>0</v>
      </c>
      <c r="H88" s="145">
        <v>0</v>
      </c>
      <c r="I88" s="145">
        <v>6.62</v>
      </c>
      <c r="J88" s="145">
        <v>0</v>
      </c>
      <c r="K88" s="145">
        <v>0</v>
      </c>
      <c r="L88" s="145">
        <v>0</v>
      </c>
      <c r="M88" s="145">
        <v>0</v>
      </c>
      <c r="N88" s="145">
        <v>0</v>
      </c>
      <c r="O88" s="145">
        <v>41.48</v>
      </c>
    </row>
    <row r="89" spans="1:15">
      <c r="A89" s="156"/>
      <c r="B89" s="152"/>
      <c r="C89" s="140">
        <v>4.3400000000000001E-2</v>
      </c>
      <c r="D89" s="147" t="s">
        <v>124</v>
      </c>
      <c r="E89" s="137">
        <v>0.55000000000000004</v>
      </c>
      <c r="F89" s="138">
        <v>0</v>
      </c>
      <c r="G89" s="145">
        <v>0</v>
      </c>
      <c r="H89" s="145">
        <v>0</v>
      </c>
      <c r="I89" s="145">
        <v>5.0599999999999996</v>
      </c>
      <c r="J89" s="145">
        <v>0</v>
      </c>
      <c r="K89" s="145">
        <v>0</v>
      </c>
      <c r="L89" s="145">
        <v>0</v>
      </c>
      <c r="M89" s="145">
        <v>0</v>
      </c>
      <c r="N89" s="145">
        <v>0</v>
      </c>
      <c r="O89" s="145">
        <v>31.69</v>
      </c>
    </row>
    <row r="90" spans="1:15">
      <c r="A90" s="156"/>
      <c r="B90" s="152"/>
      <c r="C90" s="140">
        <v>4.3400000000000001E-2</v>
      </c>
      <c r="D90" s="147" t="s">
        <v>125</v>
      </c>
      <c r="E90" s="137">
        <v>0.56999999999999995</v>
      </c>
      <c r="F90" s="138">
        <v>0</v>
      </c>
      <c r="G90" s="145">
        <v>0</v>
      </c>
      <c r="H90" s="145">
        <v>0</v>
      </c>
      <c r="I90" s="145">
        <v>5.24</v>
      </c>
      <c r="J90" s="145">
        <v>0</v>
      </c>
      <c r="K90" s="145">
        <v>0</v>
      </c>
      <c r="L90" s="145">
        <v>0</v>
      </c>
      <c r="M90" s="145">
        <v>0</v>
      </c>
      <c r="N90" s="145">
        <v>0</v>
      </c>
      <c r="O90" s="145">
        <v>32.840000000000003</v>
      </c>
    </row>
    <row r="91" spans="1:15">
      <c r="A91" s="157"/>
      <c r="B91" s="153"/>
      <c r="C91" s="140">
        <v>4.3400000000000001E-2</v>
      </c>
      <c r="D91" s="147" t="s">
        <v>126</v>
      </c>
      <c r="E91" s="137">
        <v>0.39</v>
      </c>
      <c r="F91" s="138">
        <v>0</v>
      </c>
      <c r="G91" s="145">
        <v>0</v>
      </c>
      <c r="H91" s="145">
        <v>0</v>
      </c>
      <c r="I91" s="145">
        <v>0</v>
      </c>
      <c r="J91" s="145">
        <v>0</v>
      </c>
      <c r="K91" s="145">
        <v>0</v>
      </c>
      <c r="L91" s="145">
        <v>0</v>
      </c>
      <c r="M91" s="145">
        <v>0</v>
      </c>
      <c r="N91" s="145">
        <v>0</v>
      </c>
      <c r="O91" s="145">
        <v>22.47</v>
      </c>
    </row>
    <row r="92" spans="1:15">
      <c r="A92" s="155" t="s">
        <v>29</v>
      </c>
      <c r="B92" s="151" t="s">
        <v>66</v>
      </c>
      <c r="C92" s="132">
        <v>5.04E-2</v>
      </c>
      <c r="D92" s="146" t="s">
        <v>127</v>
      </c>
      <c r="E92" s="134">
        <v>0.91</v>
      </c>
      <c r="F92" s="143">
        <v>0</v>
      </c>
      <c r="G92" s="144">
        <v>35.880000000000003</v>
      </c>
      <c r="H92" s="144">
        <v>0</v>
      </c>
      <c r="I92" s="144">
        <v>0</v>
      </c>
      <c r="J92" s="144">
        <v>0</v>
      </c>
      <c r="K92" s="144">
        <v>0</v>
      </c>
      <c r="L92" s="144">
        <v>0</v>
      </c>
      <c r="M92" s="144">
        <v>0</v>
      </c>
      <c r="N92" s="144">
        <v>17.54</v>
      </c>
      <c r="O92" s="144">
        <v>0</v>
      </c>
    </row>
    <row r="93" spans="1:15">
      <c r="A93" s="159"/>
      <c r="B93" s="154"/>
      <c r="C93" s="141">
        <v>5.04E-2</v>
      </c>
      <c r="D93" s="148" t="s">
        <v>128</v>
      </c>
      <c r="E93" s="142">
        <v>0.71</v>
      </c>
      <c r="F93" s="149">
        <v>0</v>
      </c>
      <c r="G93" s="150">
        <v>27.99</v>
      </c>
      <c r="H93" s="150">
        <v>0</v>
      </c>
      <c r="I93" s="150">
        <v>11.38</v>
      </c>
      <c r="J93" s="150">
        <v>0</v>
      </c>
      <c r="K93" s="150">
        <v>0</v>
      </c>
      <c r="L93" s="150">
        <v>0</v>
      </c>
      <c r="M93" s="150">
        <v>0</v>
      </c>
      <c r="N93" s="150">
        <v>13.68</v>
      </c>
      <c r="O93" s="150">
        <v>0</v>
      </c>
    </row>
    <row r="94" spans="1:15">
      <c r="A94" s="158" t="s">
        <v>30</v>
      </c>
      <c r="B94" s="160" t="s">
        <v>66</v>
      </c>
      <c r="C94" s="135">
        <v>3.9100000000000003E-2</v>
      </c>
      <c r="D94" s="147" t="s">
        <v>129</v>
      </c>
      <c r="E94" s="137">
        <v>0.8</v>
      </c>
      <c r="F94" s="138">
        <v>0</v>
      </c>
      <c r="G94" s="145">
        <v>6.12</v>
      </c>
      <c r="H94" s="145">
        <v>0</v>
      </c>
      <c r="I94" s="145">
        <v>0</v>
      </c>
      <c r="J94" s="145">
        <v>12.69</v>
      </c>
      <c r="K94" s="145">
        <v>0</v>
      </c>
      <c r="L94" s="145">
        <v>0</v>
      </c>
      <c r="M94" s="145">
        <v>0</v>
      </c>
      <c r="N94" s="145">
        <v>0</v>
      </c>
      <c r="O94" s="145">
        <v>0</v>
      </c>
    </row>
    <row r="95" spans="1:15">
      <c r="A95" s="156"/>
      <c r="B95" s="152"/>
      <c r="C95" s="140">
        <v>3.9100000000000003E-2</v>
      </c>
      <c r="D95" s="147" t="s">
        <v>130</v>
      </c>
      <c r="E95" s="137">
        <v>0.78</v>
      </c>
      <c r="F95" s="138">
        <v>0</v>
      </c>
      <c r="G95" s="145">
        <v>5.96</v>
      </c>
      <c r="H95" s="145">
        <v>0</v>
      </c>
      <c r="I95" s="145">
        <v>0</v>
      </c>
      <c r="J95" s="145">
        <v>0</v>
      </c>
      <c r="K95" s="145">
        <v>0</v>
      </c>
      <c r="L95" s="145">
        <v>0</v>
      </c>
      <c r="M95" s="145">
        <v>0</v>
      </c>
      <c r="N95" s="145">
        <v>0</v>
      </c>
      <c r="O95" s="145">
        <v>0</v>
      </c>
    </row>
    <row r="96" spans="1:15">
      <c r="A96" s="156"/>
      <c r="B96" s="152"/>
      <c r="C96" s="140">
        <v>3.9100000000000003E-2</v>
      </c>
      <c r="D96" s="147" t="s">
        <v>131</v>
      </c>
      <c r="E96" s="137">
        <v>0.77</v>
      </c>
      <c r="F96" s="138">
        <v>0</v>
      </c>
      <c r="G96" s="145">
        <v>5.89</v>
      </c>
      <c r="H96" s="145">
        <v>0</v>
      </c>
      <c r="I96" s="145">
        <v>0</v>
      </c>
      <c r="J96" s="145">
        <v>0</v>
      </c>
      <c r="K96" s="145">
        <v>0</v>
      </c>
      <c r="L96" s="145">
        <v>0</v>
      </c>
      <c r="M96" s="145">
        <v>0</v>
      </c>
      <c r="N96" s="145">
        <v>0</v>
      </c>
      <c r="O96" s="145">
        <v>0</v>
      </c>
    </row>
    <row r="97" spans="1:15">
      <c r="A97" s="156"/>
      <c r="B97" s="152"/>
      <c r="C97" s="140">
        <v>3.9100000000000003E-2</v>
      </c>
      <c r="D97" s="147" t="s">
        <v>132</v>
      </c>
      <c r="E97" s="137">
        <v>0.74</v>
      </c>
      <c r="F97" s="138">
        <v>0</v>
      </c>
      <c r="G97" s="145">
        <v>5.66</v>
      </c>
      <c r="H97" s="145">
        <v>0</v>
      </c>
      <c r="I97" s="145">
        <v>0</v>
      </c>
      <c r="J97" s="145">
        <v>0</v>
      </c>
      <c r="K97" s="145">
        <v>0</v>
      </c>
      <c r="L97" s="145">
        <v>0</v>
      </c>
      <c r="M97" s="145">
        <v>8.06</v>
      </c>
      <c r="N97" s="145">
        <v>0</v>
      </c>
      <c r="O97" s="145">
        <v>29.57</v>
      </c>
    </row>
    <row r="98" spans="1:15">
      <c r="A98" s="156"/>
      <c r="B98" s="152"/>
      <c r="C98" s="140">
        <v>3.9100000000000003E-2</v>
      </c>
      <c r="D98" s="147" t="s">
        <v>133</v>
      </c>
      <c r="E98" s="137">
        <v>0.74</v>
      </c>
      <c r="F98" s="138">
        <v>0</v>
      </c>
      <c r="G98" s="145">
        <v>5.66</v>
      </c>
      <c r="H98" s="145">
        <v>0</v>
      </c>
      <c r="I98" s="145">
        <v>0</v>
      </c>
      <c r="J98" s="145">
        <v>0</v>
      </c>
      <c r="K98" s="145">
        <v>0</v>
      </c>
      <c r="L98" s="145">
        <v>0</v>
      </c>
      <c r="M98" s="145">
        <v>0</v>
      </c>
      <c r="N98" s="145">
        <v>0</v>
      </c>
      <c r="O98" s="145">
        <v>29.57</v>
      </c>
    </row>
    <row r="99" spans="1:15">
      <c r="A99" s="156"/>
      <c r="B99" s="152"/>
      <c r="C99" s="140">
        <v>3.9100000000000003E-2</v>
      </c>
      <c r="D99" s="147" t="s">
        <v>134</v>
      </c>
      <c r="E99" s="137">
        <v>0.72</v>
      </c>
      <c r="F99" s="138">
        <v>0</v>
      </c>
      <c r="G99" s="145">
        <v>5.51</v>
      </c>
      <c r="H99" s="145">
        <v>0</v>
      </c>
      <c r="I99" s="145">
        <v>0</v>
      </c>
      <c r="J99" s="145">
        <v>0</v>
      </c>
      <c r="K99" s="145">
        <v>0</v>
      </c>
      <c r="L99" s="145">
        <v>0</v>
      </c>
      <c r="M99" s="145">
        <v>0</v>
      </c>
      <c r="N99" s="145">
        <v>0</v>
      </c>
      <c r="O99" s="145">
        <v>0</v>
      </c>
    </row>
    <row r="100" spans="1:15">
      <c r="A100" s="156"/>
      <c r="B100" s="152"/>
      <c r="C100" s="140">
        <v>3.9100000000000003E-2</v>
      </c>
      <c r="D100" s="147" t="s">
        <v>135</v>
      </c>
      <c r="E100" s="137">
        <v>0.7</v>
      </c>
      <c r="F100" s="138">
        <v>0</v>
      </c>
      <c r="G100" s="145">
        <v>0</v>
      </c>
      <c r="H100" s="145">
        <v>0</v>
      </c>
      <c r="I100" s="145">
        <v>8.6999999999999993</v>
      </c>
      <c r="J100" s="145">
        <v>11.1</v>
      </c>
      <c r="K100" s="145">
        <v>0</v>
      </c>
      <c r="L100" s="145">
        <v>0</v>
      </c>
      <c r="M100" s="145">
        <v>7.63</v>
      </c>
      <c r="N100" s="145">
        <v>0</v>
      </c>
      <c r="O100" s="145">
        <v>0</v>
      </c>
    </row>
    <row r="101" spans="1:15">
      <c r="A101" s="157"/>
      <c r="B101" s="153"/>
      <c r="C101" s="140">
        <v>3.9100000000000003E-2</v>
      </c>
      <c r="D101" s="147" t="s">
        <v>136</v>
      </c>
      <c r="E101" s="137">
        <v>0.56999999999999995</v>
      </c>
      <c r="F101" s="138">
        <v>0</v>
      </c>
      <c r="G101" s="145">
        <v>0</v>
      </c>
      <c r="H101" s="145">
        <v>0</v>
      </c>
      <c r="I101" s="145">
        <v>7.09</v>
      </c>
      <c r="J101" s="145">
        <v>9.0399999999999991</v>
      </c>
      <c r="K101" s="145">
        <v>0</v>
      </c>
      <c r="L101" s="145">
        <v>0</v>
      </c>
      <c r="M101" s="145">
        <v>6.21</v>
      </c>
      <c r="N101" s="145">
        <v>0</v>
      </c>
      <c r="O101" s="145">
        <v>0</v>
      </c>
    </row>
    <row r="102" spans="1:15">
      <c r="A102" s="155" t="s">
        <v>33</v>
      </c>
      <c r="B102" s="151" t="s">
        <v>88</v>
      </c>
      <c r="C102" s="132">
        <v>3.0200000000000001E-2</v>
      </c>
      <c r="D102" s="146" t="s">
        <v>137</v>
      </c>
      <c r="E102" s="134">
        <v>0.76</v>
      </c>
      <c r="F102" s="143">
        <v>0</v>
      </c>
      <c r="G102" s="144">
        <v>0</v>
      </c>
      <c r="H102" s="144">
        <v>0</v>
      </c>
      <c r="I102" s="144">
        <v>0</v>
      </c>
      <c r="J102" s="144">
        <v>13.05</v>
      </c>
      <c r="K102" s="144">
        <v>0</v>
      </c>
      <c r="L102" s="144">
        <v>4.4400000000000004</v>
      </c>
      <c r="M102" s="144">
        <v>0</v>
      </c>
      <c r="N102" s="144">
        <v>5.29</v>
      </c>
      <c r="O102" s="144">
        <v>0</v>
      </c>
    </row>
    <row r="103" spans="1:15">
      <c r="A103" s="156"/>
      <c r="B103" s="152"/>
      <c r="C103" s="140">
        <v>3.0200000000000001E-2</v>
      </c>
      <c r="D103" s="147" t="s">
        <v>138</v>
      </c>
      <c r="E103" s="137">
        <v>0.73</v>
      </c>
      <c r="F103" s="138">
        <v>0</v>
      </c>
      <c r="G103" s="145">
        <v>0</v>
      </c>
      <c r="H103" s="145">
        <v>0</v>
      </c>
      <c r="I103" s="145">
        <v>0</v>
      </c>
      <c r="J103" s="145">
        <v>0</v>
      </c>
      <c r="K103" s="145">
        <v>0</v>
      </c>
      <c r="L103" s="145">
        <v>0</v>
      </c>
      <c r="M103" s="145">
        <v>0</v>
      </c>
      <c r="N103" s="145">
        <v>5.08</v>
      </c>
      <c r="O103" s="145">
        <v>0</v>
      </c>
    </row>
    <row r="104" spans="1:15">
      <c r="A104" s="159"/>
      <c r="B104" s="154"/>
      <c r="C104" s="140">
        <v>3.0200000000000001E-2</v>
      </c>
      <c r="D104" s="147" t="s">
        <v>139</v>
      </c>
      <c r="E104" s="137">
        <v>0.63</v>
      </c>
      <c r="F104" s="138">
        <v>0</v>
      </c>
      <c r="G104" s="145">
        <v>0</v>
      </c>
      <c r="H104" s="145">
        <v>0</v>
      </c>
      <c r="I104" s="145">
        <v>0</v>
      </c>
      <c r="J104" s="145">
        <v>0</v>
      </c>
      <c r="K104" s="145">
        <v>0</v>
      </c>
      <c r="L104" s="145">
        <v>0</v>
      </c>
      <c r="M104" s="145">
        <v>0</v>
      </c>
      <c r="N104" s="145">
        <v>4.3899999999999997</v>
      </c>
      <c r="O104" s="145">
        <v>0</v>
      </c>
    </row>
  </sheetData>
  <mergeCells count="42">
    <mergeCell ref="A2:A12"/>
    <mergeCell ref="A13:A15"/>
    <mergeCell ref="A16:A22"/>
    <mergeCell ref="A39:A41"/>
    <mergeCell ref="A50:A53"/>
    <mergeCell ref="A42:A46"/>
    <mergeCell ref="A47:A49"/>
    <mergeCell ref="A36:A38"/>
    <mergeCell ref="A28:A35"/>
    <mergeCell ref="A23:A25"/>
    <mergeCell ref="A26:A27"/>
    <mergeCell ref="A54:A60"/>
    <mergeCell ref="A61:A65"/>
    <mergeCell ref="B66:B69"/>
    <mergeCell ref="B94:B101"/>
    <mergeCell ref="B102:B104"/>
    <mergeCell ref="B85:B91"/>
    <mergeCell ref="B61:B65"/>
    <mergeCell ref="A66:A69"/>
    <mergeCell ref="A94:A101"/>
    <mergeCell ref="A102:A104"/>
    <mergeCell ref="A85:A91"/>
    <mergeCell ref="A82:A84"/>
    <mergeCell ref="A70:A76"/>
    <mergeCell ref="A77:A81"/>
    <mergeCell ref="A92:A93"/>
    <mergeCell ref="B82:B84"/>
    <mergeCell ref="B70:B76"/>
    <mergeCell ref="B77:B81"/>
    <mergeCell ref="B92:B93"/>
    <mergeCell ref="B2:B12"/>
    <mergeCell ref="B13:B15"/>
    <mergeCell ref="B16:B22"/>
    <mergeCell ref="B39:B41"/>
    <mergeCell ref="B50:B53"/>
    <mergeCell ref="B42:B46"/>
    <mergeCell ref="B47:B49"/>
    <mergeCell ref="B36:B38"/>
    <mergeCell ref="B28:B35"/>
    <mergeCell ref="B23:B25"/>
    <mergeCell ref="B26:B27"/>
    <mergeCell ref="B54:B60"/>
  </mergeCells>
  <phoneticPr fontId="9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矩阵（副本）</vt:lpstr>
      <vt:lpstr>Cetus数据底表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LI 李文博</cp:lastModifiedBy>
  <dcterms:modified xsi:type="dcterms:W3CDTF">2026-02-11T01:31:41Z</dcterms:modified>
</cp:coreProperties>
</file>